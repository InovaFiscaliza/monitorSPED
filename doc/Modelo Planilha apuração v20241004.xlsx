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atel365-my.sharepoint.com/personal/enilsio_anatel_gov_br/Documents/01 - FIGF5/Automação/Projeto Ferramenta Trib 2025/"/>
    </mc:Choice>
  </mc:AlternateContent>
  <xr:revisionPtr revIDLastSave="100" documentId="13_ncr:1_{7E998E06-DBFE-4B02-B88C-81841A9C85ED}" xr6:coauthVersionLast="47" xr6:coauthVersionMax="47" xr10:uidLastSave="{49A208BD-9741-419D-A3D4-E85AFA504CA8}"/>
  <bookViews>
    <workbookView xWindow="-120" yWindow="-120" windowWidth="29040" windowHeight="15840" xr2:uid="{8DDEC537-9674-417F-A144-386AF57E36E7}"/>
  </bookViews>
  <sheets>
    <sheet name="Orientações" sheetId="11" r:id="rId1"/>
    <sheet name="Resumo" sheetId="12" r:id="rId2"/>
    <sheet name="Apuração" sheetId="6" r:id="rId3"/>
    <sheet name="ICMS" sheetId="7" r:id="rId4"/>
    <sheet name="Tabela mensal ICMS" sheetId="9" state="hidden" r:id="rId5"/>
    <sheet name="Alíquotas ICMS" sheetId="8" state="hidden" r:id="rId6"/>
  </sheets>
  <definedNames>
    <definedName name="_xlnm._FilterDatabase" localSheetId="5" hidden="1">'Alíquotas ICMS'!$B$4:$L$31</definedName>
    <definedName name="Alíquota" localSheetId="1">#REF!</definedName>
    <definedName name="Alíquota">'Alíquotas ICMS'!$O$5:$O$13</definedName>
    <definedName name="_xlnm.Print_Area" localSheetId="2">Apuração!$A$1:$R$30</definedName>
    <definedName name="_xlnm.Print_Titles" localSheetId="2">Apuração!$B:$C</definedName>
    <definedName name="_xlnm.Print_Titles" localSheetId="3">ICMS!$B:$C</definedName>
    <definedName name="UF" localSheetId="1">#REF!</definedName>
    <definedName name="UF">'Tabela mensal ICMS'!$B$35:$B$63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C7" i="7"/>
  <c r="D2" i="9"/>
  <c r="H4" i="9" s="1"/>
  <c r="H20" i="9" s="1"/>
  <c r="B10" i="7"/>
  <c r="C10" i="7"/>
  <c r="D10" i="7"/>
  <c r="E10" i="7"/>
  <c r="C1" i="7"/>
  <c r="B1" i="7"/>
  <c r="E3" i="6"/>
  <c r="E3" i="7" s="1"/>
  <c r="E2" i="7"/>
  <c r="B5" i="9"/>
  <c r="B36" i="9" s="1"/>
  <c r="B6" i="9"/>
  <c r="B7" i="9"/>
  <c r="B38" i="9" s="1"/>
  <c r="B8" i="9"/>
  <c r="B39" i="9" s="1"/>
  <c r="B9" i="9"/>
  <c r="B10" i="9"/>
  <c r="B11" i="9"/>
  <c r="B12" i="9"/>
  <c r="B43" i="9" s="1"/>
  <c r="B13" i="9"/>
  <c r="B44" i="9"/>
  <c r="B14" i="9"/>
  <c r="B45" i="9" s="1"/>
  <c r="B15" i="9"/>
  <c r="B16" i="9"/>
  <c r="B17" i="9"/>
  <c r="B18" i="9"/>
  <c r="B19" i="9"/>
  <c r="B50" i="9" s="1"/>
  <c r="B20" i="9"/>
  <c r="B21" i="9"/>
  <c r="B52" i="9" s="1"/>
  <c r="B22" i="9"/>
  <c r="B23" i="9"/>
  <c r="B24" i="9"/>
  <c r="B25" i="9"/>
  <c r="B26" i="9"/>
  <c r="B27" i="9"/>
  <c r="B58" i="9" s="1"/>
  <c r="B28" i="9"/>
  <c r="B59" i="9" s="1"/>
  <c r="B29" i="9"/>
  <c r="B60" i="9"/>
  <c r="B30" i="9"/>
  <c r="B31" i="9"/>
  <c r="B37" i="9"/>
  <c r="B40" i="9"/>
  <c r="B41" i="9"/>
  <c r="B42" i="9"/>
  <c r="B46" i="9"/>
  <c r="B47" i="9"/>
  <c r="B48" i="9"/>
  <c r="B49" i="9"/>
  <c r="B51" i="9"/>
  <c r="B53" i="9"/>
  <c r="B54" i="9"/>
  <c r="B55" i="9"/>
  <c r="B56" i="9"/>
  <c r="B57" i="9"/>
  <c r="B61" i="9"/>
  <c r="B62" i="9"/>
  <c r="I34" i="9"/>
  <c r="L34" i="9"/>
  <c r="G34" i="9"/>
  <c r="F34" i="9"/>
  <c r="D4" i="9"/>
  <c r="D11" i="9" s="1"/>
  <c r="O4" i="9"/>
  <c r="O10" i="9" s="1"/>
  <c r="J4" i="9"/>
  <c r="J14" i="9" s="1"/>
  <c r="I4" i="9"/>
  <c r="I20" i="9" s="1"/>
  <c r="H29" i="9"/>
  <c r="H14" i="9"/>
  <c r="B2" i="6"/>
  <c r="K3" i="6" s="1"/>
  <c r="K3" i="7" s="1"/>
  <c r="Y3" i="7" s="1"/>
  <c r="J25" i="9"/>
  <c r="D30" i="9"/>
  <c r="I6" i="9"/>
  <c r="I13" i="9"/>
  <c r="I22" i="9"/>
  <c r="I17" i="9"/>
  <c r="I29" i="9"/>
  <c r="I18" i="9"/>
  <c r="I8" i="9"/>
  <c r="I26" i="9"/>
  <c r="I12" i="9"/>
  <c r="I21" i="9"/>
  <c r="I19" i="9"/>
  <c r="I10" i="9"/>
  <c r="Q24" i="7"/>
  <c r="P24" i="7"/>
  <c r="O24" i="7"/>
  <c r="N24" i="7"/>
  <c r="M24" i="7"/>
  <c r="L24" i="7"/>
  <c r="K24" i="7"/>
  <c r="J24" i="7"/>
  <c r="I24" i="7"/>
  <c r="H24" i="7"/>
  <c r="G24" i="7"/>
  <c r="R15" i="6"/>
  <c r="Q34" i="6"/>
  <c r="Q51" i="6" s="1"/>
  <c r="C32" i="12" s="1"/>
  <c r="P34" i="6"/>
  <c r="P51" i="6" s="1"/>
  <c r="C31" i="12" s="1"/>
  <c r="O34" i="6"/>
  <c r="O36" i="6" s="1"/>
  <c r="O53" i="6" s="1"/>
  <c r="E30" i="12" s="1"/>
  <c r="N34" i="6"/>
  <c r="N36" i="6" s="1"/>
  <c r="N53" i="6" s="1"/>
  <c r="E29" i="12" s="1"/>
  <c r="M34" i="6"/>
  <c r="M37" i="6" s="1"/>
  <c r="M54" i="6" s="1"/>
  <c r="F28" i="12" s="1"/>
  <c r="L34" i="6"/>
  <c r="L37" i="6" s="1"/>
  <c r="L54" i="6" s="1"/>
  <c r="F27" i="12" s="1"/>
  <c r="K34" i="6"/>
  <c r="K36" i="6" s="1"/>
  <c r="K53" i="6" s="1"/>
  <c r="E26" i="12" s="1"/>
  <c r="J34" i="6"/>
  <c r="J51" i="6" s="1"/>
  <c r="C25" i="12" s="1"/>
  <c r="I34" i="6"/>
  <c r="I51" i="6" s="1"/>
  <c r="C24" i="12" s="1"/>
  <c r="H34" i="6"/>
  <c r="H37" i="6" s="1"/>
  <c r="H54" i="6" s="1"/>
  <c r="F23" i="12" s="1"/>
  <c r="G34" i="6"/>
  <c r="G36" i="6" s="1"/>
  <c r="G53" i="6" s="1"/>
  <c r="E22" i="12" s="1"/>
  <c r="R14" i="6"/>
  <c r="E15" i="7"/>
  <c r="AE15" i="7" s="1"/>
  <c r="D15" i="7"/>
  <c r="C15" i="7"/>
  <c r="B15" i="7"/>
  <c r="E9" i="7"/>
  <c r="D9" i="7"/>
  <c r="C9" i="7"/>
  <c r="B9" i="7"/>
  <c r="J15" i="7"/>
  <c r="O15" i="7"/>
  <c r="M15" i="7"/>
  <c r="F34" i="6"/>
  <c r="F37" i="6" s="1"/>
  <c r="J3" i="6"/>
  <c r="J3" i="7" s="1"/>
  <c r="X3" i="7" s="1"/>
  <c r="Q3" i="6"/>
  <c r="Q3" i="7" s="1"/>
  <c r="AE3" i="7" s="1"/>
  <c r="D14" i="7"/>
  <c r="D13" i="7"/>
  <c r="D8" i="7"/>
  <c r="D7" i="7"/>
  <c r="D6" i="7"/>
  <c r="B8" i="7"/>
  <c r="B7" i="7"/>
  <c r="B6" i="7"/>
  <c r="F24" i="7"/>
  <c r="R23" i="7"/>
  <c r="R22" i="7"/>
  <c r="R21" i="7"/>
  <c r="E14" i="7"/>
  <c r="L14" i="7" s="1"/>
  <c r="C14" i="7"/>
  <c r="B14" i="7"/>
  <c r="E13" i="7"/>
  <c r="AE13" i="7" s="1"/>
  <c r="C13" i="7"/>
  <c r="B13" i="7"/>
  <c r="E8" i="7"/>
  <c r="C8" i="7"/>
  <c r="E7" i="7"/>
  <c r="E6" i="7"/>
  <c r="C6" i="7"/>
  <c r="F16" i="6"/>
  <c r="M14" i="7"/>
  <c r="K14" i="7"/>
  <c r="I14" i="7"/>
  <c r="N14" i="7"/>
  <c r="P14" i="7"/>
  <c r="H14" i="7"/>
  <c r="G14" i="7"/>
  <c r="F14" i="7"/>
  <c r="F11" i="6"/>
  <c r="O19" i="9" l="1"/>
  <c r="O14" i="7"/>
  <c r="N15" i="7"/>
  <c r="O24" i="9"/>
  <c r="G15" i="7"/>
  <c r="O31" i="9"/>
  <c r="O20" i="9"/>
  <c r="O15" i="9"/>
  <c r="P15" i="7"/>
  <c r="O12" i="9"/>
  <c r="F18" i="6"/>
  <c r="AA14" i="7"/>
  <c r="H15" i="7"/>
  <c r="Q14" i="7"/>
  <c r="F15" i="7"/>
  <c r="I15" i="7"/>
  <c r="F13" i="7"/>
  <c r="J14" i="7"/>
  <c r="R14" i="7" s="1"/>
  <c r="L15" i="7"/>
  <c r="Q15" i="7"/>
  <c r="O13" i="9"/>
  <c r="Z15" i="7"/>
  <c r="X7" i="7"/>
  <c r="T8" i="7"/>
  <c r="AB8" i="7"/>
  <c r="X9" i="7"/>
  <c r="J17" i="9"/>
  <c r="O17" i="9"/>
  <c r="Y7" i="7"/>
  <c r="U8" i="7"/>
  <c r="G8" i="7" s="1"/>
  <c r="AC8" i="7"/>
  <c r="O8" i="7" s="1"/>
  <c r="Y9" i="7"/>
  <c r="I24" i="9"/>
  <c r="I9" i="9"/>
  <c r="J28" i="9"/>
  <c r="O5" i="9"/>
  <c r="H28" i="9"/>
  <c r="Z7" i="7"/>
  <c r="V8" i="7"/>
  <c r="H8" i="7" s="1"/>
  <c r="AD8" i="7"/>
  <c r="Z9" i="7"/>
  <c r="AA7" i="7"/>
  <c r="W8" i="7"/>
  <c r="AE8" i="7"/>
  <c r="Q8" i="7" s="1"/>
  <c r="AA9" i="7"/>
  <c r="M9" i="7" s="1"/>
  <c r="T7" i="7"/>
  <c r="AB7" i="7"/>
  <c r="N7" i="7" s="1"/>
  <c r="X8" i="7"/>
  <c r="J8" i="7" s="1"/>
  <c r="T9" i="7"/>
  <c r="F9" i="7" s="1"/>
  <c r="AB9" i="7"/>
  <c r="J22" i="9"/>
  <c r="U7" i="7"/>
  <c r="G7" i="7" s="1"/>
  <c r="AC7" i="7"/>
  <c r="Y8" i="7"/>
  <c r="U9" i="7"/>
  <c r="G9" i="7" s="1"/>
  <c r="AC9" i="7"/>
  <c r="V14" i="7"/>
  <c r="V7" i="7"/>
  <c r="AD7" i="7"/>
  <c r="Z8" i="7"/>
  <c r="V9" i="7"/>
  <c r="AD9" i="7"/>
  <c r="AD14" i="7"/>
  <c r="W7" i="7"/>
  <c r="AE7" i="7"/>
  <c r="AA8" i="7"/>
  <c r="W9" i="7"/>
  <c r="I9" i="7" s="1"/>
  <c r="AE9" i="7"/>
  <c r="I3" i="6"/>
  <c r="I3" i="7" s="1"/>
  <c r="W3" i="7" s="1"/>
  <c r="I30" i="9"/>
  <c r="I23" i="9"/>
  <c r="J54" i="9" s="1"/>
  <c r="I27" i="9"/>
  <c r="I15" i="9"/>
  <c r="J24" i="9"/>
  <c r="J55" i="9" s="1"/>
  <c r="J10" i="9"/>
  <c r="J41" i="9" s="1"/>
  <c r="I28" i="9"/>
  <c r="I59" i="9" s="1"/>
  <c r="I7" i="9"/>
  <c r="I11" i="9"/>
  <c r="J20" i="9"/>
  <c r="J51" i="9" s="1"/>
  <c r="O21" i="9"/>
  <c r="J23" i="9"/>
  <c r="K4" i="9"/>
  <c r="K34" i="9"/>
  <c r="I5" i="9"/>
  <c r="I25" i="9"/>
  <c r="I31" i="9"/>
  <c r="J7" i="9"/>
  <c r="J30" i="9"/>
  <c r="B2" i="7"/>
  <c r="F3" i="6"/>
  <c r="F3" i="7" s="1"/>
  <c r="T3" i="7" s="1"/>
  <c r="I60" i="9"/>
  <c r="I14" i="9"/>
  <c r="I45" i="9" s="1"/>
  <c r="I16" i="9"/>
  <c r="J16" i="9"/>
  <c r="O27" i="9"/>
  <c r="O22" i="9"/>
  <c r="R24" i="7"/>
  <c r="J9" i="7"/>
  <c r="H9" i="7"/>
  <c r="H7" i="7"/>
  <c r="F7" i="7"/>
  <c r="O51" i="6"/>
  <c r="C30" i="12" s="1"/>
  <c r="O37" i="6"/>
  <c r="O54" i="6" s="1"/>
  <c r="F30" i="12" s="1"/>
  <c r="I8" i="7"/>
  <c r="F8" i="7"/>
  <c r="H16" i="6"/>
  <c r="G16" i="6"/>
  <c r="G13" i="7"/>
  <c r="G16" i="7" s="1"/>
  <c r="N51" i="6"/>
  <c r="C29" i="12" s="1"/>
  <c r="Z13" i="7"/>
  <c r="N37" i="6"/>
  <c r="N54" i="6" s="1"/>
  <c r="F29" i="12" s="1"/>
  <c r="H36" i="6"/>
  <c r="H53" i="6" s="1"/>
  <c r="E23" i="12" s="1"/>
  <c r="J37" i="6"/>
  <c r="J54" i="6" s="1"/>
  <c r="F25" i="12" s="1"/>
  <c r="H51" i="6"/>
  <c r="C23" i="12" s="1"/>
  <c r="M51" i="6"/>
  <c r="C28" i="12" s="1"/>
  <c r="I37" i="6"/>
  <c r="I54" i="6" s="1"/>
  <c r="F24" i="12" s="1"/>
  <c r="P37" i="6"/>
  <c r="P54" i="6" s="1"/>
  <c r="F31" i="12" s="1"/>
  <c r="P36" i="6"/>
  <c r="P53" i="6" s="1"/>
  <c r="E31" i="12" s="1"/>
  <c r="J36" i="6"/>
  <c r="J53" i="6" s="1"/>
  <c r="E25" i="12" s="1"/>
  <c r="Q9" i="7"/>
  <c r="K37" i="6"/>
  <c r="K54" i="6" s="1"/>
  <c r="F26" i="12" s="1"/>
  <c r="L36" i="6"/>
  <c r="L53" i="6" s="1"/>
  <c r="E27" i="12" s="1"/>
  <c r="Q36" i="6"/>
  <c r="Q53" i="6" s="1"/>
  <c r="E32" i="12" s="1"/>
  <c r="M36" i="6"/>
  <c r="M53" i="6" s="1"/>
  <c r="E28" i="12" s="1"/>
  <c r="G11" i="6"/>
  <c r="G18" i="6" s="1"/>
  <c r="G45" i="6" s="1"/>
  <c r="C5" i="12" s="1"/>
  <c r="L51" i="6"/>
  <c r="C27" i="12" s="1"/>
  <c r="I36" i="6"/>
  <c r="I53" i="6" s="1"/>
  <c r="E24" i="12" s="1"/>
  <c r="M8" i="7"/>
  <c r="K51" i="6"/>
  <c r="C26" i="12" s="1"/>
  <c r="Q37" i="6"/>
  <c r="Q54" i="6" s="1"/>
  <c r="F32" i="12" s="1"/>
  <c r="G37" i="6"/>
  <c r="G54" i="6" s="1"/>
  <c r="F22" i="12" s="1"/>
  <c r="G51" i="6"/>
  <c r="C22" i="12" s="1"/>
  <c r="F36" i="6"/>
  <c r="F51" i="6"/>
  <c r="C21" i="12" s="1"/>
  <c r="R34" i="6"/>
  <c r="J59" i="9"/>
  <c r="K15" i="7"/>
  <c r="X13" i="7"/>
  <c r="T14" i="7"/>
  <c r="AB14" i="7"/>
  <c r="X15" i="7"/>
  <c r="Y13" i="7"/>
  <c r="U14" i="7"/>
  <c r="AC14" i="7"/>
  <c r="Y15" i="7"/>
  <c r="AA13" i="7"/>
  <c r="W14" i="7"/>
  <c r="AE14" i="7"/>
  <c r="AA15" i="7"/>
  <c r="T13" i="7"/>
  <c r="AB13" i="7"/>
  <c r="X14" i="7"/>
  <c r="T15" i="7"/>
  <c r="AB15" i="7"/>
  <c r="U13" i="7"/>
  <c r="AC13" i="7"/>
  <c r="Y14" i="7"/>
  <c r="U15" i="7"/>
  <c r="AC15" i="7"/>
  <c r="V13" i="7"/>
  <c r="AD13" i="7"/>
  <c r="Z14" i="7"/>
  <c r="V15" i="7"/>
  <c r="AD15" i="7"/>
  <c r="W13" i="7"/>
  <c r="W15" i="7"/>
  <c r="J47" i="9"/>
  <c r="J48" i="9"/>
  <c r="J53" i="9"/>
  <c r="J45" i="9"/>
  <c r="H3" i="6"/>
  <c r="H3" i="7" s="1"/>
  <c r="V3" i="7" s="1"/>
  <c r="D22" i="9"/>
  <c r="J6" i="9"/>
  <c r="J37" i="9" s="1"/>
  <c r="J18" i="9"/>
  <c r="N4" i="9"/>
  <c r="M34" i="9"/>
  <c r="O3" i="6"/>
  <c r="O3" i="7" s="1"/>
  <c r="AC3" i="7" s="1"/>
  <c r="G3" i="6"/>
  <c r="G3" i="7" s="1"/>
  <c r="U3" i="7" s="1"/>
  <c r="D23" i="9"/>
  <c r="J29" i="9"/>
  <c r="J60" i="9" s="1"/>
  <c r="J21" i="9"/>
  <c r="O18" i="9"/>
  <c r="O26" i="9"/>
  <c r="O11" i="9"/>
  <c r="J19" i="9"/>
  <c r="J31" i="9"/>
  <c r="H26" i="9"/>
  <c r="I57" i="9" s="1"/>
  <c r="M4" i="9"/>
  <c r="M7" i="9" s="1"/>
  <c r="E4" i="9"/>
  <c r="G4" i="9"/>
  <c r="E34" i="9"/>
  <c r="P3" i="6"/>
  <c r="P3" i="7" s="1"/>
  <c r="AD3" i="7" s="1"/>
  <c r="N3" i="6"/>
  <c r="N3" i="7" s="1"/>
  <c r="AB3" i="7" s="1"/>
  <c r="D19" i="9"/>
  <c r="J12" i="9"/>
  <c r="J9" i="9"/>
  <c r="J40" i="9" s="1"/>
  <c r="O30" i="9"/>
  <c r="O16" i="9"/>
  <c r="O8" i="9"/>
  <c r="J15" i="9"/>
  <c r="J11" i="9"/>
  <c r="J42" i="9" s="1"/>
  <c r="H17" i="9"/>
  <c r="I48" i="9" s="1"/>
  <c r="J5" i="9"/>
  <c r="J36" i="9" s="1"/>
  <c r="J34" i="9"/>
  <c r="H34" i="9"/>
  <c r="M3" i="6"/>
  <c r="M3" i="7" s="1"/>
  <c r="AA3" i="7" s="1"/>
  <c r="D13" i="9"/>
  <c r="J61" i="9"/>
  <c r="L3" i="6"/>
  <c r="L3" i="7" s="1"/>
  <c r="Z3" i="7" s="1"/>
  <c r="J13" i="9"/>
  <c r="O29" i="9"/>
  <c r="O14" i="9"/>
  <c r="O7" i="9"/>
  <c r="O6" i="9"/>
  <c r="J27" i="9"/>
  <c r="J58" i="9" s="1"/>
  <c r="H23" i="9"/>
  <c r="L4" i="9"/>
  <c r="N34" i="9"/>
  <c r="O34" i="9"/>
  <c r="J8" i="9"/>
  <c r="O28" i="9"/>
  <c r="O25" i="9"/>
  <c r="O23" i="9"/>
  <c r="O9" i="9"/>
  <c r="J26" i="9"/>
  <c r="J57" i="9" s="1"/>
  <c r="F4" i="9"/>
  <c r="F18" i="9" s="1"/>
  <c r="D34" i="9"/>
  <c r="J56" i="9"/>
  <c r="AB10" i="7"/>
  <c r="AE10" i="7"/>
  <c r="Q10" i="7" s="1"/>
  <c r="K9" i="7"/>
  <c r="AC10" i="7"/>
  <c r="O10" i="7" s="1"/>
  <c r="AA10" i="7"/>
  <c r="M10" i="7" s="1"/>
  <c r="Z10" i="7"/>
  <c r="W10" i="7"/>
  <c r="I10" i="7" s="1"/>
  <c r="Y10" i="7"/>
  <c r="AD10" i="7"/>
  <c r="P10" i="7" s="1"/>
  <c r="V10" i="7"/>
  <c r="H10" i="7" s="1"/>
  <c r="U10" i="7"/>
  <c r="G10" i="7" s="1"/>
  <c r="X10" i="7"/>
  <c r="J10" i="7" s="1"/>
  <c r="T10" i="7"/>
  <c r="F10" i="7" s="1"/>
  <c r="D8" i="9"/>
  <c r="D26" i="9"/>
  <c r="D31" i="9"/>
  <c r="D5" i="9"/>
  <c r="C4" i="9"/>
  <c r="D18" i="9"/>
  <c r="D29" i="9"/>
  <c r="D20" i="9"/>
  <c r="D10" i="9"/>
  <c r="D14" i="9"/>
  <c r="D27" i="9"/>
  <c r="D7" i="9"/>
  <c r="D6" i="9"/>
  <c r="D16" i="9"/>
  <c r="D9" i="9"/>
  <c r="D12" i="9"/>
  <c r="D28" i="9"/>
  <c r="D24" i="9"/>
  <c r="D15" i="9"/>
  <c r="D17" i="9"/>
  <c r="D21" i="9"/>
  <c r="D25" i="9"/>
  <c r="I51" i="9"/>
  <c r="M10" i="9"/>
  <c r="H24" i="9"/>
  <c r="I55" i="9" s="1"/>
  <c r="H11" i="9"/>
  <c r="I42" i="9" s="1"/>
  <c r="H5" i="9"/>
  <c r="I36" i="9" s="1"/>
  <c r="H12" i="9"/>
  <c r="I43" i="9" s="1"/>
  <c r="H7" i="9"/>
  <c r="H30" i="9"/>
  <c r="I61" i="9" s="1"/>
  <c r="H31" i="9"/>
  <c r="H25" i="9"/>
  <c r="H22" i="9"/>
  <c r="I53" i="9" s="1"/>
  <c r="H8" i="9"/>
  <c r="I39" i="9" s="1"/>
  <c r="H27" i="9"/>
  <c r="H21" i="9"/>
  <c r="I52" i="9" s="1"/>
  <c r="H18" i="9"/>
  <c r="H19" i="9"/>
  <c r="I50" i="9" s="1"/>
  <c r="H13" i="9"/>
  <c r="I44" i="9" s="1"/>
  <c r="H10" i="9"/>
  <c r="I41" i="9" s="1"/>
  <c r="H16" i="9"/>
  <c r="H15" i="9"/>
  <c r="H9" i="9"/>
  <c r="I40" i="9" s="1"/>
  <c r="H6" i="9"/>
  <c r="I37" i="9" s="1"/>
  <c r="N8" i="9"/>
  <c r="N28" i="9"/>
  <c r="N23" i="9"/>
  <c r="N24" i="9"/>
  <c r="G30" i="9"/>
  <c r="G19" i="9"/>
  <c r="N26" i="9"/>
  <c r="N30" i="9"/>
  <c r="F54" i="6"/>
  <c r="F21" i="12" s="1"/>
  <c r="F45" i="6"/>
  <c r="C4" i="12" s="1"/>
  <c r="M29" i="9" l="1"/>
  <c r="I54" i="9"/>
  <c r="F16" i="7"/>
  <c r="M31" i="9"/>
  <c r="M24" i="9"/>
  <c r="M14" i="9"/>
  <c r="M28" i="9"/>
  <c r="M26" i="9"/>
  <c r="M57" i="9" s="1"/>
  <c r="M21" i="9"/>
  <c r="M11" i="9"/>
  <c r="M9" i="9"/>
  <c r="M20" i="9"/>
  <c r="M23" i="9"/>
  <c r="M5" i="9"/>
  <c r="M25" i="9"/>
  <c r="M8" i="9"/>
  <c r="N39" i="9" s="1"/>
  <c r="M27" i="9"/>
  <c r="M18" i="9"/>
  <c r="M12" i="9"/>
  <c r="I58" i="9"/>
  <c r="M22" i="9"/>
  <c r="K13" i="9"/>
  <c r="K44" i="9" s="1"/>
  <c r="K14" i="9"/>
  <c r="K45" i="9" s="1"/>
  <c r="K27" i="9"/>
  <c r="K58" i="9" s="1"/>
  <c r="K29" i="9"/>
  <c r="K15" i="9"/>
  <c r="K20" i="9"/>
  <c r="K51" i="9" s="1"/>
  <c r="K9" i="9"/>
  <c r="K5" i="9"/>
  <c r="K24" i="9"/>
  <c r="K55" i="9" s="1"/>
  <c r="K17" i="9"/>
  <c r="K48" i="9" s="1"/>
  <c r="K11" i="9"/>
  <c r="K42" i="9" s="1"/>
  <c r="K12" i="9"/>
  <c r="K7" i="9"/>
  <c r="K38" i="9" s="1"/>
  <c r="K18" i="9"/>
  <c r="K49" i="9" s="1"/>
  <c r="K31" i="9"/>
  <c r="K26" i="9"/>
  <c r="K57" i="9" s="1"/>
  <c r="K19" i="9"/>
  <c r="K50" i="9" s="1"/>
  <c r="K21" i="9"/>
  <c r="K52" i="9" s="1"/>
  <c r="K10" i="9"/>
  <c r="K41" i="9" s="1"/>
  <c r="K28" i="9"/>
  <c r="K59" i="9" s="1"/>
  <c r="K6" i="9"/>
  <c r="K37" i="9" s="1"/>
  <c r="K22" i="9"/>
  <c r="K53" i="9" s="1"/>
  <c r="K16" i="9"/>
  <c r="K47" i="9" s="1"/>
  <c r="K30" i="9"/>
  <c r="K23" i="9"/>
  <c r="K54" i="9" s="1"/>
  <c r="K25" i="9"/>
  <c r="K56" i="9" s="1"/>
  <c r="K8" i="9"/>
  <c r="K39" i="9" s="1"/>
  <c r="K43" i="9"/>
  <c r="K61" i="9"/>
  <c r="K36" i="9"/>
  <c r="J38" i="9"/>
  <c r="H13" i="7"/>
  <c r="H16" i="7" s="1"/>
  <c r="R37" i="6"/>
  <c r="C39" i="12"/>
  <c r="L9" i="7"/>
  <c r="K8" i="7"/>
  <c r="R9" i="6"/>
  <c r="L8" i="7"/>
  <c r="N9" i="7"/>
  <c r="P9" i="7"/>
  <c r="P8" i="7"/>
  <c r="O9" i="7"/>
  <c r="F33" i="12"/>
  <c r="C33" i="12"/>
  <c r="L10" i="7"/>
  <c r="I11" i="6"/>
  <c r="I7" i="7"/>
  <c r="H11" i="6"/>
  <c r="H18" i="6" s="1"/>
  <c r="H45" i="6" s="1"/>
  <c r="C6" i="12" s="1"/>
  <c r="C40" i="12" s="1"/>
  <c r="R10" i="6"/>
  <c r="K10" i="7"/>
  <c r="N10" i="7"/>
  <c r="K7" i="7"/>
  <c r="Q7" i="7"/>
  <c r="L7" i="7"/>
  <c r="N8" i="7"/>
  <c r="R8" i="6"/>
  <c r="M7" i="7"/>
  <c r="J7" i="7"/>
  <c r="R7" i="6"/>
  <c r="O7" i="7"/>
  <c r="P7" i="7"/>
  <c r="J11" i="6"/>
  <c r="F53" i="6"/>
  <c r="E21" i="12" s="1"/>
  <c r="E33" i="12" s="1"/>
  <c r="R36" i="6"/>
  <c r="J39" i="9"/>
  <c r="R15" i="7"/>
  <c r="J50" i="9"/>
  <c r="J43" i="9"/>
  <c r="L8" i="9"/>
  <c r="L21" i="9"/>
  <c r="L29" i="9"/>
  <c r="L60" i="9" s="1"/>
  <c r="L12" i="9"/>
  <c r="L43" i="9" s="1"/>
  <c r="L5" i="9"/>
  <c r="L36" i="9" s="1"/>
  <c r="L31" i="9"/>
  <c r="M62" i="9" s="1"/>
  <c r="L30" i="9"/>
  <c r="L61" i="9" s="1"/>
  <c r="L27" i="9"/>
  <c r="L7" i="9"/>
  <c r="L38" i="9" s="1"/>
  <c r="L14" i="9"/>
  <c r="L10" i="9"/>
  <c r="L17" i="9"/>
  <c r="L26" i="9"/>
  <c r="L57" i="9" s="1"/>
  <c r="L16" i="9"/>
  <c r="L47" i="9" s="1"/>
  <c r="L25" i="9"/>
  <c r="M56" i="9" s="1"/>
  <c r="L13" i="9"/>
  <c r="L44" i="9" s="1"/>
  <c r="L19" i="9"/>
  <c r="L50" i="9" s="1"/>
  <c r="L22" i="9"/>
  <c r="L20" i="9"/>
  <c r="L18" i="9"/>
  <c r="L9" i="9"/>
  <c r="L24" i="9"/>
  <c r="L23" i="9"/>
  <c r="L54" i="9" s="1"/>
  <c r="L11" i="9"/>
  <c r="L6" i="9"/>
  <c r="L37" i="9" s="1"/>
  <c r="L28" i="9"/>
  <c r="M59" i="9" s="1"/>
  <c r="L15" i="9"/>
  <c r="J44" i="9"/>
  <c r="J62" i="9"/>
  <c r="K62" i="9"/>
  <c r="M60" i="9"/>
  <c r="L40" i="9"/>
  <c r="M55" i="9"/>
  <c r="G22" i="9"/>
  <c r="H53" i="9" s="1"/>
  <c r="G7" i="9"/>
  <c r="G23" i="9"/>
  <c r="H54" i="9" s="1"/>
  <c r="G18" i="9"/>
  <c r="G49" i="9" s="1"/>
  <c r="G17" i="9"/>
  <c r="G5" i="9"/>
  <c r="H36" i="9" s="1"/>
  <c r="G29" i="9"/>
  <c r="G11" i="9"/>
  <c r="H42" i="9" s="1"/>
  <c r="G27" i="9"/>
  <c r="G25" i="9"/>
  <c r="G20" i="9"/>
  <c r="H51" i="9" s="1"/>
  <c r="G16" i="9"/>
  <c r="G9" i="9"/>
  <c r="H40" i="9" s="1"/>
  <c r="G26" i="9"/>
  <c r="H57" i="9" s="1"/>
  <c r="G8" i="9"/>
  <c r="H39" i="9" s="1"/>
  <c r="G24" i="9"/>
  <c r="H55" i="9" s="1"/>
  <c r="G12" i="9"/>
  <c r="G6" i="9"/>
  <c r="H37" i="9" s="1"/>
  <c r="G28" i="9"/>
  <c r="H59" i="9" s="1"/>
  <c r="G13" i="9"/>
  <c r="H44" i="9" s="1"/>
  <c r="G15" i="9"/>
  <c r="H46" i="9" s="1"/>
  <c r="G14" i="9"/>
  <c r="G10" i="9"/>
  <c r="G21" i="9"/>
  <c r="G31" i="9"/>
  <c r="F31" i="9"/>
  <c r="F27" i="9"/>
  <c r="F12" i="9"/>
  <c r="F16" i="9"/>
  <c r="F14" i="9"/>
  <c r="F21" i="9"/>
  <c r="F10" i="9"/>
  <c r="F26" i="9"/>
  <c r="F19" i="9"/>
  <c r="F28" i="9"/>
  <c r="F25" i="9"/>
  <c r="F11" i="9"/>
  <c r="F7" i="9"/>
  <c r="F15" i="9"/>
  <c r="F24" i="9"/>
  <c r="F30" i="9"/>
  <c r="F5" i="9"/>
  <c r="F22" i="9"/>
  <c r="F23" i="9"/>
  <c r="F9" i="9"/>
  <c r="F8" i="9"/>
  <c r="F17" i="9"/>
  <c r="F13" i="9"/>
  <c r="F20" i="9"/>
  <c r="G51" i="9" s="1"/>
  <c r="F29" i="9"/>
  <c r="F6" i="9"/>
  <c r="E7" i="9"/>
  <c r="E38" i="9" s="1"/>
  <c r="E12" i="9"/>
  <c r="E43" i="9" s="1"/>
  <c r="E25" i="9"/>
  <c r="E15" i="9"/>
  <c r="E46" i="9" s="1"/>
  <c r="E20" i="9"/>
  <c r="E18" i="9"/>
  <c r="F49" i="9" s="1"/>
  <c r="E16" i="9"/>
  <c r="E47" i="9" s="1"/>
  <c r="E8" i="9"/>
  <c r="E39" i="9" s="1"/>
  <c r="E24" i="9"/>
  <c r="E55" i="9" s="1"/>
  <c r="E6" i="9"/>
  <c r="E37" i="9" s="1"/>
  <c r="E22" i="9"/>
  <c r="E53" i="9" s="1"/>
  <c r="E11" i="9"/>
  <c r="E42" i="9" s="1"/>
  <c r="E13" i="9"/>
  <c r="E44" i="9" s="1"/>
  <c r="E19" i="9"/>
  <c r="E50" i="9" s="1"/>
  <c r="E31" i="9"/>
  <c r="E62" i="9" s="1"/>
  <c r="E10" i="9"/>
  <c r="E41" i="9" s="1"/>
  <c r="E27" i="9"/>
  <c r="E58" i="9" s="1"/>
  <c r="E14" i="9"/>
  <c r="E28" i="9"/>
  <c r="E5" i="9"/>
  <c r="E29" i="9"/>
  <c r="E60" i="9" s="1"/>
  <c r="E23" i="9"/>
  <c r="E54" i="9" s="1"/>
  <c r="E21" i="9"/>
  <c r="E52" i="9" s="1"/>
  <c r="E9" i="9"/>
  <c r="E40" i="9" s="1"/>
  <c r="E30" i="9"/>
  <c r="E61" i="9" s="1"/>
  <c r="E17" i="9"/>
  <c r="E48" i="9" s="1"/>
  <c r="E26" i="9"/>
  <c r="J52" i="9"/>
  <c r="K60" i="9"/>
  <c r="K46" i="9"/>
  <c r="J46" i="9"/>
  <c r="G50" i="9"/>
  <c r="M45" i="9"/>
  <c r="J49" i="9"/>
  <c r="M17" i="9"/>
  <c r="M30" i="9"/>
  <c r="M6" i="9"/>
  <c r="M19" i="9"/>
  <c r="M13" i="9"/>
  <c r="M16" i="9"/>
  <c r="M47" i="9" s="1"/>
  <c r="M15" i="9"/>
  <c r="N5" i="9"/>
  <c r="N19" i="9"/>
  <c r="N20" i="9"/>
  <c r="N6" i="9"/>
  <c r="N37" i="9" s="1"/>
  <c r="N14" i="9"/>
  <c r="O45" i="9" s="1"/>
  <c r="N21" i="9"/>
  <c r="N16" i="9"/>
  <c r="O47" i="9" s="1"/>
  <c r="N15" i="9"/>
  <c r="O46" i="9" s="1"/>
  <c r="N11" i="9"/>
  <c r="N42" i="9" s="1"/>
  <c r="N9" i="9"/>
  <c r="O40" i="9" s="1"/>
  <c r="N22" i="9"/>
  <c r="O53" i="9" s="1"/>
  <c r="N29" i="9"/>
  <c r="N31" i="9"/>
  <c r="N17" i="9"/>
  <c r="O48" i="9" s="1"/>
  <c r="N10" i="9"/>
  <c r="O41" i="9" s="1"/>
  <c r="N27" i="9"/>
  <c r="O58" i="9" s="1"/>
  <c r="N25" i="9"/>
  <c r="N56" i="9" s="1"/>
  <c r="N12" i="9"/>
  <c r="O43" i="9" s="1"/>
  <c r="N13" i="9"/>
  <c r="N18" i="9"/>
  <c r="N49" i="9" s="1"/>
  <c r="N7" i="9"/>
  <c r="K40" i="9"/>
  <c r="I47" i="9"/>
  <c r="H56" i="9"/>
  <c r="I56" i="9"/>
  <c r="M52" i="9"/>
  <c r="E49" i="9"/>
  <c r="O55" i="9"/>
  <c r="N55" i="9"/>
  <c r="I62" i="9"/>
  <c r="H61" i="9"/>
  <c r="M41" i="9"/>
  <c r="M49" i="9"/>
  <c r="C6" i="9"/>
  <c r="C8" i="9"/>
  <c r="D39" i="9" s="1"/>
  <c r="C23" i="9"/>
  <c r="D54" i="9" s="1"/>
  <c r="C10" i="9"/>
  <c r="C26" i="9"/>
  <c r="D57" i="9" s="1"/>
  <c r="C21" i="9"/>
  <c r="D52" i="9" s="1"/>
  <c r="C29" i="9"/>
  <c r="D60" i="9" s="1"/>
  <c r="C9" i="9"/>
  <c r="D40" i="9" s="1"/>
  <c r="C13" i="9"/>
  <c r="D44" i="9" s="1"/>
  <c r="C5" i="9"/>
  <c r="D36" i="9" s="1"/>
  <c r="C25" i="9"/>
  <c r="D56" i="9" s="1"/>
  <c r="C7" i="9"/>
  <c r="D38" i="9" s="1"/>
  <c r="C15" i="9"/>
  <c r="D46" i="9" s="1"/>
  <c r="C30" i="9"/>
  <c r="D61" i="9" s="1"/>
  <c r="C11" i="9"/>
  <c r="D42" i="9" s="1"/>
  <c r="C20" i="9"/>
  <c r="D51" i="9" s="1"/>
  <c r="C24" i="9"/>
  <c r="D55" i="9" s="1"/>
  <c r="C18" i="9"/>
  <c r="D49" i="9" s="1"/>
  <c r="C27" i="9"/>
  <c r="D58" i="9" s="1"/>
  <c r="C22" i="9"/>
  <c r="D53" i="9" s="1"/>
  <c r="C19" i="9"/>
  <c r="D50" i="9" s="1"/>
  <c r="C16" i="9"/>
  <c r="D47" i="9" s="1"/>
  <c r="C31" i="9"/>
  <c r="D62" i="9" s="1"/>
  <c r="C14" i="9"/>
  <c r="D45" i="9" s="1"/>
  <c r="C12" i="9"/>
  <c r="D43" i="9" s="1"/>
  <c r="C17" i="9"/>
  <c r="D48" i="9" s="1"/>
  <c r="C28" i="9"/>
  <c r="D59" i="9" s="1"/>
  <c r="E59" i="9"/>
  <c r="N54" i="9"/>
  <c r="O54" i="9"/>
  <c r="H52" i="9"/>
  <c r="M53" i="9"/>
  <c r="N53" i="9"/>
  <c r="M38" i="9"/>
  <c r="D41" i="9"/>
  <c r="N59" i="9"/>
  <c r="O59" i="9"/>
  <c r="H50" i="9"/>
  <c r="I49" i="9"/>
  <c r="O61" i="9"/>
  <c r="O39" i="9"/>
  <c r="O57" i="9"/>
  <c r="H43" i="9"/>
  <c r="I46" i="9"/>
  <c r="I38" i="9"/>
  <c r="H38" i="9"/>
  <c r="M51" i="9"/>
  <c r="D37" i="9"/>
  <c r="C38" i="12"/>
  <c r="N57" i="9" l="1"/>
  <c r="L41" i="9"/>
  <c r="M61" i="9"/>
  <c r="M43" i="9"/>
  <c r="M40" i="9"/>
  <c r="L39" i="9"/>
  <c r="L42" i="9"/>
  <c r="L58" i="9"/>
  <c r="L49" i="9"/>
  <c r="L51" i="9"/>
  <c r="L53" i="9"/>
  <c r="L52" i="9"/>
  <c r="M42" i="9"/>
  <c r="M37" i="9"/>
  <c r="G36" i="9"/>
  <c r="L55" i="9"/>
  <c r="G57" i="9"/>
  <c r="M50" i="9"/>
  <c r="N48" i="9"/>
  <c r="L46" i="9"/>
  <c r="L45" i="9"/>
  <c r="L48" i="9"/>
  <c r="F56" i="9"/>
  <c r="R9" i="7"/>
  <c r="R7" i="7"/>
  <c r="R10" i="7"/>
  <c r="I16" i="6"/>
  <c r="I18" i="6" s="1"/>
  <c r="I45" i="6" s="1"/>
  <c r="C7" i="12" s="1"/>
  <c r="C41" i="12" s="1"/>
  <c r="I13" i="7"/>
  <c r="I16" i="7" s="1"/>
  <c r="R8" i="7"/>
  <c r="K11" i="6"/>
  <c r="N45" i="9"/>
  <c r="N40" i="9"/>
  <c r="F51" i="9"/>
  <c r="F57" i="9"/>
  <c r="M54" i="9"/>
  <c r="M58" i="9"/>
  <c r="M44" i="9"/>
  <c r="N38" i="9"/>
  <c r="O38" i="9"/>
  <c r="O62" i="9"/>
  <c r="N62" i="9"/>
  <c r="N60" i="9"/>
  <c r="O60" i="9"/>
  <c r="O52" i="9"/>
  <c r="N52" i="9"/>
  <c r="O51" i="9"/>
  <c r="N51" i="9"/>
  <c r="E45" i="9"/>
  <c r="F45" i="9"/>
  <c r="F37" i="9"/>
  <c r="F60" i="9"/>
  <c r="G44" i="9"/>
  <c r="F44" i="9"/>
  <c r="F48" i="9"/>
  <c r="F39" i="9"/>
  <c r="F40" i="9"/>
  <c r="F53" i="9"/>
  <c r="F55" i="9"/>
  <c r="F38" i="9"/>
  <c r="G38" i="9"/>
  <c r="F59" i="9"/>
  <c r="F52" i="9"/>
  <c r="F43" i="9"/>
  <c r="G62" i="9"/>
  <c r="G43" i="9"/>
  <c r="G40" i="9"/>
  <c r="G47" i="9"/>
  <c r="G56" i="9"/>
  <c r="G58" i="9"/>
  <c r="K35" i="9"/>
  <c r="AA6" i="7" s="1"/>
  <c r="J35" i="9"/>
  <c r="Z6" i="7" s="1"/>
  <c r="G53" i="9"/>
  <c r="L59" i="9"/>
  <c r="O56" i="9"/>
  <c r="N58" i="9"/>
  <c r="E51" i="9"/>
  <c r="M48" i="9"/>
  <c r="F61" i="9"/>
  <c r="G61" i="9"/>
  <c r="G52" i="9"/>
  <c r="G54" i="9"/>
  <c r="N41" i="9"/>
  <c r="L56" i="9"/>
  <c r="O42" i="9"/>
  <c r="O36" i="9"/>
  <c r="N36" i="9"/>
  <c r="G42" i="9"/>
  <c r="H62" i="9"/>
  <c r="F36" i="9"/>
  <c r="E36" i="9"/>
  <c r="H41" i="9"/>
  <c r="G41" i="9"/>
  <c r="G60" i="9"/>
  <c r="H60" i="9"/>
  <c r="E57" i="9"/>
  <c r="N46" i="9"/>
  <c r="M46" i="9"/>
  <c r="H49" i="9"/>
  <c r="N43" i="9"/>
  <c r="N47" i="9"/>
  <c r="F54" i="9"/>
  <c r="G46" i="9"/>
  <c r="F46" i="9"/>
  <c r="E56" i="9"/>
  <c r="O49" i="9"/>
  <c r="G45" i="9"/>
  <c r="H45" i="9"/>
  <c r="G55" i="9"/>
  <c r="G37" i="9"/>
  <c r="O37" i="9"/>
  <c r="H58" i="9"/>
  <c r="N50" i="9"/>
  <c r="O50" i="9"/>
  <c r="F50" i="9"/>
  <c r="F47" i="9"/>
  <c r="G59" i="9"/>
  <c r="M39" i="9"/>
  <c r="H47" i="9"/>
  <c r="N44" i="9"/>
  <c r="O44" i="9"/>
  <c r="F58" i="9"/>
  <c r="F42" i="9"/>
  <c r="F41" i="9"/>
  <c r="G39" i="9"/>
  <c r="M36" i="9"/>
  <c r="N61" i="9"/>
  <c r="F62" i="9"/>
  <c r="G48" i="9"/>
  <c r="H48" i="9"/>
  <c r="L62" i="9"/>
  <c r="I35" i="9"/>
  <c r="Y6" i="7" s="1"/>
  <c r="K6" i="7" s="1"/>
  <c r="D35" i="9"/>
  <c r="T6" i="7" s="1"/>
  <c r="F6" i="7" s="1"/>
  <c r="F11" i="7" s="1"/>
  <c r="F18" i="7" s="1"/>
  <c r="J16" i="6" l="1"/>
  <c r="J18" i="6" s="1"/>
  <c r="J45" i="6" s="1"/>
  <c r="C8" i="12" s="1"/>
  <c r="J13" i="7"/>
  <c r="J16" i="7" s="1"/>
  <c r="K11" i="7"/>
  <c r="L11" i="6"/>
  <c r="L6" i="7"/>
  <c r="L11" i="7" s="1"/>
  <c r="M35" i="9"/>
  <c r="AC6" i="7" s="1"/>
  <c r="H35" i="9"/>
  <c r="X6" i="7" s="1"/>
  <c r="J6" i="7" s="1"/>
  <c r="J11" i="7" s="1"/>
  <c r="F35" i="9"/>
  <c r="V6" i="7" s="1"/>
  <c r="H6" i="7" s="1"/>
  <c r="H11" i="7" s="1"/>
  <c r="H18" i="7" s="1"/>
  <c r="G35" i="9"/>
  <c r="W6" i="7" s="1"/>
  <c r="I6" i="7" s="1"/>
  <c r="I11" i="7" s="1"/>
  <c r="I18" i="7" s="1"/>
  <c r="E35" i="9"/>
  <c r="U6" i="7" s="1"/>
  <c r="G6" i="7" s="1"/>
  <c r="G11" i="7" s="1"/>
  <c r="G18" i="7" s="1"/>
  <c r="O35" i="9"/>
  <c r="AE6" i="7" s="1"/>
  <c r="L35" i="9"/>
  <c r="AB6" i="7" s="1"/>
  <c r="N35" i="9"/>
  <c r="AD6" i="7" s="1"/>
  <c r="J18" i="7" l="1"/>
  <c r="K13" i="7"/>
  <c r="K16" i="7" s="1"/>
  <c r="K18" i="7" s="1"/>
  <c r="K16" i="6"/>
  <c r="K18" i="6" s="1"/>
  <c r="K45" i="6" s="1"/>
  <c r="C9" i="12" s="1"/>
  <c r="C43" i="12" s="1"/>
  <c r="M11" i="6"/>
  <c r="M6" i="7"/>
  <c r="M11" i="7" s="1"/>
  <c r="C42" i="12"/>
  <c r="L13" i="7" l="1"/>
  <c r="L16" i="7" s="1"/>
  <c r="L18" i="7" s="1"/>
  <c r="L16" i="6"/>
  <c r="L18" i="6" s="1"/>
  <c r="L45" i="6" s="1"/>
  <c r="C10" i="12" s="1"/>
  <c r="C44" i="12" s="1"/>
  <c r="N11" i="6"/>
  <c r="N6" i="7"/>
  <c r="M13" i="7" l="1"/>
  <c r="M16" i="7" s="1"/>
  <c r="M18" i="7" s="1"/>
  <c r="M16" i="6"/>
  <c r="M18" i="6" s="1"/>
  <c r="M45" i="6" s="1"/>
  <c r="C11" i="12" s="1"/>
  <c r="N11" i="7"/>
  <c r="O11" i="6"/>
  <c r="O6" i="7"/>
  <c r="O11" i="7" s="1"/>
  <c r="N16" i="6" l="1"/>
  <c r="N18" i="6" s="1"/>
  <c r="N13" i="7"/>
  <c r="N16" i="7" s="1"/>
  <c r="N18" i="7" s="1"/>
  <c r="C45" i="12"/>
  <c r="P11" i="6"/>
  <c r="P6" i="7"/>
  <c r="P11" i="7" s="1"/>
  <c r="O16" i="6" l="1"/>
  <c r="O18" i="6" s="1"/>
  <c r="O13" i="7"/>
  <c r="O16" i="7" s="1"/>
  <c r="O18" i="7" s="1"/>
  <c r="N45" i="6"/>
  <c r="C12" i="12" s="1"/>
  <c r="C46" i="12" s="1"/>
  <c r="Q11" i="6"/>
  <c r="Q6" i="7"/>
  <c r="R6" i="6"/>
  <c r="O45" i="6" l="1"/>
  <c r="C13" i="12" s="1"/>
  <c r="C47" i="12" s="1"/>
  <c r="P13" i="7"/>
  <c r="P16" i="7" s="1"/>
  <c r="P18" i="7" s="1"/>
  <c r="P16" i="6"/>
  <c r="P18" i="6" s="1"/>
  <c r="R13" i="6"/>
  <c r="R11" i="6"/>
  <c r="Q11" i="7"/>
  <c r="R6" i="7"/>
  <c r="R11" i="7" l="1"/>
  <c r="P29" i="7"/>
  <c r="P35" i="6" s="1"/>
  <c r="O29" i="7"/>
  <c r="O35" i="6" s="1"/>
  <c r="F29" i="7"/>
  <c r="J29" i="7"/>
  <c r="J35" i="6" s="1"/>
  <c r="I29" i="7"/>
  <c r="I35" i="6" s="1"/>
  <c r="G29" i="7"/>
  <c r="G35" i="6" s="1"/>
  <c r="L29" i="7"/>
  <c r="L35" i="6" s="1"/>
  <c r="N29" i="7"/>
  <c r="N35" i="6" s="1"/>
  <c r="K29" i="7"/>
  <c r="K35" i="6" s="1"/>
  <c r="Q29" i="7"/>
  <c r="Q35" i="6" s="1"/>
  <c r="H29" i="7"/>
  <c r="H35" i="6" s="1"/>
  <c r="M29" i="7"/>
  <c r="M35" i="6" s="1"/>
  <c r="Q13" i="7"/>
  <c r="Q16" i="6"/>
  <c r="P45" i="6"/>
  <c r="C14" i="12" s="1"/>
  <c r="C48" i="12" s="1"/>
  <c r="G52" i="6" l="1"/>
  <c r="D22" i="12" s="1"/>
  <c r="G38" i="6"/>
  <c r="I52" i="6"/>
  <c r="D24" i="12" s="1"/>
  <c r="I38" i="6"/>
  <c r="M52" i="6"/>
  <c r="D28" i="12" s="1"/>
  <c r="M38" i="6"/>
  <c r="J52" i="6"/>
  <c r="D25" i="12" s="1"/>
  <c r="J38" i="6"/>
  <c r="L52" i="6"/>
  <c r="D27" i="12" s="1"/>
  <c r="L38" i="6"/>
  <c r="H52" i="6"/>
  <c r="D23" i="12" s="1"/>
  <c r="H38" i="6"/>
  <c r="F35" i="6"/>
  <c r="R29" i="7"/>
  <c r="Q52" i="6"/>
  <c r="D32" i="12" s="1"/>
  <c r="Q38" i="6"/>
  <c r="O52" i="6"/>
  <c r="D30" i="12" s="1"/>
  <c r="O38" i="6"/>
  <c r="P52" i="6"/>
  <c r="D31" i="12" s="1"/>
  <c r="P38" i="6"/>
  <c r="K52" i="6"/>
  <c r="D26" i="12" s="1"/>
  <c r="K38" i="6"/>
  <c r="N52" i="6"/>
  <c r="D29" i="12" s="1"/>
  <c r="N38" i="6"/>
  <c r="R16" i="6"/>
  <c r="Q18" i="6"/>
  <c r="Q16" i="7"/>
  <c r="Q18" i="7" s="1"/>
  <c r="R13" i="7"/>
  <c r="R16" i="7" s="1"/>
  <c r="R18" i="7" s="1"/>
  <c r="G25" i="12" l="1"/>
  <c r="H25" i="12"/>
  <c r="M40" i="6"/>
  <c r="M39" i="6"/>
  <c r="Q39" i="6"/>
  <c r="Q40" i="6"/>
  <c r="G26" i="12"/>
  <c r="H26" i="12"/>
  <c r="H28" i="12"/>
  <c r="G28" i="12"/>
  <c r="H32" i="12"/>
  <c r="G32" i="12"/>
  <c r="K40" i="6"/>
  <c r="K39" i="6"/>
  <c r="F52" i="6"/>
  <c r="D21" i="12" s="1"/>
  <c r="R35" i="6"/>
  <c r="F38" i="6"/>
  <c r="P40" i="6"/>
  <c r="P39" i="6"/>
  <c r="H39" i="6"/>
  <c r="H40" i="6"/>
  <c r="I39" i="6"/>
  <c r="I40" i="6"/>
  <c r="N39" i="6"/>
  <c r="N40" i="6"/>
  <c r="H24" i="12"/>
  <c r="G24" i="12"/>
  <c r="J40" i="6"/>
  <c r="J39" i="6"/>
  <c r="G31" i="12"/>
  <c r="H31" i="12"/>
  <c r="G23" i="12"/>
  <c r="H23" i="12"/>
  <c r="O40" i="6"/>
  <c r="O39" i="6"/>
  <c r="L40" i="6"/>
  <c r="L39" i="6"/>
  <c r="G39" i="6"/>
  <c r="G40" i="6"/>
  <c r="H29" i="12"/>
  <c r="G29" i="12"/>
  <c r="H30" i="12"/>
  <c r="G30" i="12"/>
  <c r="G27" i="12"/>
  <c r="H27" i="12"/>
  <c r="H22" i="12"/>
  <c r="G22" i="12"/>
  <c r="F26" i="7"/>
  <c r="P26" i="7"/>
  <c r="I26" i="7"/>
  <c r="M26" i="7"/>
  <c r="N26" i="7"/>
  <c r="H26" i="7"/>
  <c r="K26" i="7"/>
  <c r="L26" i="7"/>
  <c r="J26" i="7"/>
  <c r="O26" i="7"/>
  <c r="G26" i="7"/>
  <c r="Q26" i="7"/>
  <c r="R18" i="6"/>
  <c r="Q45" i="6"/>
  <c r="C15" i="12" s="1"/>
  <c r="D33" i="12" l="1"/>
  <c r="H21" i="12"/>
  <c r="H33" i="12" s="1"/>
  <c r="G21" i="12"/>
  <c r="G33" i="12" s="1"/>
  <c r="F40" i="6"/>
  <c r="R40" i="6" s="1"/>
  <c r="F39" i="6"/>
  <c r="R39" i="6" s="1"/>
  <c r="R38" i="6"/>
  <c r="C49" i="12"/>
  <c r="C50" i="12" s="1"/>
  <c r="C16" i="12"/>
  <c r="R26" i="7"/>
  <c r="G21" i="6" l="1"/>
  <c r="P21" i="6"/>
  <c r="I21" i="6"/>
  <c r="Q21" i="6"/>
  <c r="N21" i="6"/>
  <c r="O21" i="6"/>
  <c r="J21" i="6"/>
  <c r="M21" i="6"/>
  <c r="F21" i="6"/>
  <c r="H21" i="6"/>
  <c r="K21" i="6"/>
  <c r="L21" i="6"/>
  <c r="O23" i="6" l="1"/>
  <c r="O48" i="6" s="1"/>
  <c r="F13" i="12" s="1"/>
  <c r="F47" i="12" s="1"/>
  <c r="O22" i="6"/>
  <c r="O47" i="6" s="1"/>
  <c r="E13" i="12" s="1"/>
  <c r="E47" i="12" s="1"/>
  <c r="M23" i="6"/>
  <c r="M48" i="6" s="1"/>
  <c r="F11" i="12" s="1"/>
  <c r="F45" i="12" s="1"/>
  <c r="M22" i="6"/>
  <c r="M47" i="6" s="1"/>
  <c r="E11" i="12" s="1"/>
  <c r="E45" i="12" s="1"/>
  <c r="L22" i="6"/>
  <c r="L47" i="6" s="1"/>
  <c r="E10" i="12" s="1"/>
  <c r="E44" i="12" s="1"/>
  <c r="L23" i="6"/>
  <c r="L48" i="6" s="1"/>
  <c r="F10" i="12" s="1"/>
  <c r="F44" i="12" s="1"/>
  <c r="I46" i="6"/>
  <c r="D7" i="12" s="1"/>
  <c r="D41" i="12" s="1"/>
  <c r="I22" i="6"/>
  <c r="I47" i="6" s="1"/>
  <c r="E7" i="12" s="1"/>
  <c r="E41" i="12" s="1"/>
  <c r="I23" i="6"/>
  <c r="I48" i="6" s="1"/>
  <c r="F7" i="12" s="1"/>
  <c r="F41" i="12" s="1"/>
  <c r="Q23" i="6"/>
  <c r="Q48" i="6" s="1"/>
  <c r="F15" i="12" s="1"/>
  <c r="F49" i="12" s="1"/>
  <c r="Q22" i="6"/>
  <c r="Q47" i="6" s="1"/>
  <c r="E15" i="12" s="1"/>
  <c r="E49" i="12" s="1"/>
  <c r="H22" i="6"/>
  <c r="H47" i="6" s="1"/>
  <c r="E6" i="12" s="1"/>
  <c r="E40" i="12" s="1"/>
  <c r="H23" i="6"/>
  <c r="H48" i="6" s="1"/>
  <c r="F6" i="12" s="1"/>
  <c r="F40" i="12" s="1"/>
  <c r="P22" i="6"/>
  <c r="P47" i="6" s="1"/>
  <c r="E14" i="12" s="1"/>
  <c r="E48" i="12" s="1"/>
  <c r="P23" i="6"/>
  <c r="P48" i="6" s="1"/>
  <c r="F14" i="12" s="1"/>
  <c r="F48" i="12" s="1"/>
  <c r="J22" i="6"/>
  <c r="J47" i="6" s="1"/>
  <c r="E8" i="12" s="1"/>
  <c r="E42" i="12" s="1"/>
  <c r="J23" i="6"/>
  <c r="J48" i="6" s="1"/>
  <c r="F8" i="12" s="1"/>
  <c r="F42" i="12" s="1"/>
  <c r="N46" i="6"/>
  <c r="D12" i="12" s="1"/>
  <c r="D46" i="12" s="1"/>
  <c r="N23" i="6"/>
  <c r="N48" i="6" s="1"/>
  <c r="F12" i="12" s="1"/>
  <c r="F46" i="12" s="1"/>
  <c r="N22" i="6"/>
  <c r="N47" i="6" s="1"/>
  <c r="E12" i="12" s="1"/>
  <c r="E46" i="12" s="1"/>
  <c r="K23" i="6"/>
  <c r="K48" i="6" s="1"/>
  <c r="F9" i="12" s="1"/>
  <c r="F43" i="12" s="1"/>
  <c r="K22" i="6"/>
  <c r="K47" i="6" s="1"/>
  <c r="E9" i="12" s="1"/>
  <c r="E43" i="12" s="1"/>
  <c r="F22" i="6"/>
  <c r="F23" i="6"/>
  <c r="G22" i="6"/>
  <c r="G47" i="6" s="1"/>
  <c r="E5" i="12" s="1"/>
  <c r="E39" i="12" s="1"/>
  <c r="G23" i="6"/>
  <c r="G48" i="6" s="1"/>
  <c r="F5" i="12" s="1"/>
  <c r="F39" i="12" s="1"/>
  <c r="J46" i="6"/>
  <c r="D8" i="12" s="1"/>
  <c r="O46" i="6"/>
  <c r="D13" i="12" s="1"/>
  <c r="L46" i="6"/>
  <c r="D10" i="12" s="1"/>
  <c r="Q46" i="6"/>
  <c r="D15" i="12" s="1"/>
  <c r="K46" i="6"/>
  <c r="D9" i="12" s="1"/>
  <c r="H46" i="6"/>
  <c r="D6" i="12" s="1"/>
  <c r="P46" i="6"/>
  <c r="D14" i="12" s="1"/>
  <c r="M46" i="6"/>
  <c r="D11" i="12" s="1"/>
  <c r="F46" i="6"/>
  <c r="D4" i="12" s="1"/>
  <c r="R21" i="6"/>
  <c r="G46" i="6"/>
  <c r="D5" i="12" s="1"/>
  <c r="M24" i="6" l="1"/>
  <c r="M25" i="6" s="1"/>
  <c r="M30" i="6" s="1"/>
  <c r="L24" i="6"/>
  <c r="L25" i="6" s="1"/>
  <c r="L29" i="6" s="1"/>
  <c r="Q24" i="6"/>
  <c r="Q25" i="6" s="1"/>
  <c r="Q30" i="6" s="1"/>
  <c r="O24" i="6"/>
  <c r="O25" i="6" s="1"/>
  <c r="O29" i="6" s="1"/>
  <c r="G24" i="6"/>
  <c r="G25" i="6" s="1"/>
  <c r="G30" i="6" s="1"/>
  <c r="P24" i="6"/>
  <c r="P25" i="6" s="1"/>
  <c r="P30" i="6" s="1"/>
  <c r="H12" i="12"/>
  <c r="H46" i="12" s="1"/>
  <c r="G12" i="12"/>
  <c r="G46" i="12" s="1"/>
  <c r="F48" i="6"/>
  <c r="F4" i="12" s="1"/>
  <c r="R23" i="6"/>
  <c r="F47" i="6"/>
  <c r="E4" i="12" s="1"/>
  <c r="R22" i="6"/>
  <c r="N24" i="6"/>
  <c r="N25" i="6" s="1"/>
  <c r="N30" i="6" s="1"/>
  <c r="H7" i="12"/>
  <c r="H41" i="12" s="1"/>
  <c r="I24" i="6"/>
  <c r="I25" i="6" s="1"/>
  <c r="I30" i="6" s="1"/>
  <c r="H24" i="6"/>
  <c r="H25" i="6" s="1"/>
  <c r="H29" i="6" s="1"/>
  <c r="G7" i="12"/>
  <c r="G41" i="12" s="1"/>
  <c r="F24" i="6"/>
  <c r="F25" i="6" s="1"/>
  <c r="F30" i="6" s="1"/>
  <c r="K24" i="6"/>
  <c r="K25" i="6" s="1"/>
  <c r="K29" i="6" s="1"/>
  <c r="J24" i="6"/>
  <c r="J25" i="6" s="1"/>
  <c r="J29" i="6" s="1"/>
  <c r="D49" i="12"/>
  <c r="H15" i="12"/>
  <c r="H49" i="12" s="1"/>
  <c r="G15" i="12"/>
  <c r="G49" i="12" s="1"/>
  <c r="H11" i="12"/>
  <c r="H45" i="12" s="1"/>
  <c r="G11" i="12"/>
  <c r="G45" i="12" s="1"/>
  <c r="D45" i="12"/>
  <c r="H14" i="12"/>
  <c r="H48" i="12" s="1"/>
  <c r="G14" i="12"/>
  <c r="G48" i="12" s="1"/>
  <c r="D48" i="12"/>
  <c r="H5" i="12"/>
  <c r="H39" i="12" s="1"/>
  <c r="G5" i="12"/>
  <c r="G39" i="12" s="1"/>
  <c r="D39" i="12"/>
  <c r="D38" i="12"/>
  <c r="D16" i="12"/>
  <c r="G10" i="12"/>
  <c r="G44" i="12" s="1"/>
  <c r="D44" i="12"/>
  <c r="H10" i="12"/>
  <c r="H44" i="12" s="1"/>
  <c r="H6" i="12"/>
  <c r="H40" i="12" s="1"/>
  <c r="G6" i="12"/>
  <c r="G40" i="12" s="1"/>
  <c r="D40" i="12"/>
  <c r="G13" i="12"/>
  <c r="G47" i="12" s="1"/>
  <c r="D47" i="12"/>
  <c r="H13" i="12"/>
  <c r="H47" i="12" s="1"/>
  <c r="D43" i="12"/>
  <c r="H9" i="12"/>
  <c r="H43" i="12" s="1"/>
  <c r="G9" i="12"/>
  <c r="G43" i="12" s="1"/>
  <c r="G8" i="12"/>
  <c r="G42" i="12" s="1"/>
  <c r="H8" i="12"/>
  <c r="H42" i="12" s="1"/>
  <c r="D42" i="12"/>
  <c r="O30" i="6" l="1"/>
  <c r="G29" i="6"/>
  <c r="Q29" i="6"/>
  <c r="M29" i="6"/>
  <c r="L30" i="6"/>
  <c r="P29" i="6"/>
  <c r="H30" i="6"/>
  <c r="I29" i="6"/>
  <c r="G4" i="12"/>
  <c r="G16" i="12" s="1"/>
  <c r="J30" i="6"/>
  <c r="K30" i="6"/>
  <c r="N29" i="6"/>
  <c r="H4" i="12"/>
  <c r="H38" i="12" s="1"/>
  <c r="H50" i="12" s="1"/>
  <c r="F38" i="12"/>
  <c r="F50" i="12" s="1"/>
  <c r="F16" i="12"/>
  <c r="R25" i="6"/>
  <c r="R24" i="6"/>
  <c r="E38" i="12"/>
  <c r="E50" i="12" s="1"/>
  <c r="E16" i="12"/>
  <c r="F29" i="6"/>
  <c r="D50" i="12"/>
  <c r="R29" i="6" l="1"/>
  <c r="R30" i="6"/>
  <c r="G38" i="12"/>
  <c r="G50" i="12" s="1"/>
  <c r="H1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tc={767FE9A7-0584-4CD3-8B63-1E9029D1F54F}</author>
    <author>tc={A70D6D26-9FB9-48AE-8676-20333B4D867C}</author>
  </authors>
  <commentList>
    <comment ref="F7" authorId="0" shapeId="0" xr:uid="{767FE9A7-0584-4CD3-8B63-1E9029D1F5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Voz / SMS / MMS - 30%
Dados - 20%</t>
      </text>
    </comment>
    <comment ref="F25" authorId="1" shapeId="0" xr:uid="{A70D6D26-9FB9-48AE-8676-20333B4D86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Apenas banda larga 27%. O restante, 35%</t>
      </text>
    </comment>
  </commentList>
</comments>
</file>

<file path=xl/sharedStrings.xml><?xml version="1.0" encoding="utf-8"?>
<sst xmlns="http://schemas.openxmlformats.org/spreadsheetml/2006/main" count="332" uniqueCount="194">
  <si>
    <t>Instruções de preenchimento da planilha de apuração</t>
  </si>
  <si>
    <t>1.</t>
  </si>
  <si>
    <t>Preencher o ano fiscal na célula C1 da aba "Apuração";</t>
  </si>
  <si>
    <t>2.</t>
  </si>
  <si>
    <t>Preencher as tabelas "(A) Receita" e "(B) Cancelamentos e descontos incondicionais" na aba "Apuração" com os dados contábeis da ROB-telecom (preferencialmente abertos por UF);</t>
  </si>
  <si>
    <t>3.</t>
  </si>
  <si>
    <t>Identificar as contas de interconexão (ITX) ou EILD na coluna "D" da aba "apuração";</t>
  </si>
  <si>
    <t>4.a</t>
  </si>
  <si>
    <t>Para ano fiscal 2022 e posteriores, selecionar a UF de cada linha de receita na coluna "E" (usando a lista suspensa);</t>
  </si>
  <si>
    <t xml:space="preserve">        [para receitas sem identificação da UF, selecionar "n/d" | para receitas sem reconhecimento contábil de ICMS, selecionar "NT" (não tributado)]</t>
  </si>
  <si>
    <t>4.b</t>
  </si>
  <si>
    <t>Para ano fiscal até 2021, selecionar a alíquota geral de ICMS em cada linha de receita na coluna "E" (usando a lista suspensa);</t>
  </si>
  <si>
    <t xml:space="preserve">        [para receitas sem reconhecimento contábil de ICMS, selecionar "0%"]</t>
  </si>
  <si>
    <t>5.</t>
  </si>
  <si>
    <t>Aba "ICMS", independentemente do ano fiscal, adequar manualmente a indicação das alíquotas mensais de cada linha de receita nas colunas "T" a "AE";</t>
  </si>
  <si>
    <t xml:space="preserve">        [considerar resposta da prestadora, convênios de ICMS, adicional de FECP, diferenciais de alíquota por serviços específicos, etc.]</t>
  </si>
  <si>
    <t>6.</t>
  </si>
  <si>
    <t>Aba "ICMS", preencher a tabela "ICMS contabilizado" (linhas 28 a 30) com os dados contábeis da despesa de ICMS (redutora de receita de telecom);</t>
  </si>
  <si>
    <t>7.</t>
  </si>
  <si>
    <t>Aba "ICMS", identificar as eventuais contas contábeis de ICMS referentes a interconexão (ITX) ou EILD na coluna "D";</t>
  </si>
  <si>
    <t>8.</t>
  </si>
  <si>
    <t>Aba "Apuração", conferir se o total de PIS e Cofins (células R29 e R30) não excedem os respectivos saldos contábeis equivalentes às receitas de telecom;</t>
  </si>
  <si>
    <t>9.</t>
  </si>
  <si>
    <t>Copiar os valores da tabela "Resumo para upload" na aba "Apuração" para o arquivo modelo gerador do CSV.</t>
  </si>
  <si>
    <t>10.</t>
  </si>
  <si>
    <t>Copiar as tabelas resumo para a conclusão do relatório de fiscalização no SEI.</t>
  </si>
  <si>
    <t>Mês</t>
  </si>
  <si>
    <t>ROB Telecom
(Total)</t>
  </si>
  <si>
    <t>(-) ICMS</t>
  </si>
  <si>
    <t>(-) PIS</t>
  </si>
  <si>
    <t>(-) COFINS</t>
  </si>
  <si>
    <t>Fust
1%</t>
  </si>
  <si>
    <t>Funttel
0,5%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</si>
  <si>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</si>
  <si>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</si>
  <si>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</si>
  <si>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</si>
  <si>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</si>
  <si>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</si>
  <si>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</si>
  <si>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</si>
  <si>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</si>
  <si>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</si>
  <si>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</si>
  <si>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</si>
  <si>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</si>
  <si>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Tabela 2 - Apuração somente Interconexão (ITX) e EILD</t>
  </si>
  <si>
    <t>ROB Telecom
(ITX/EILD)</t>
  </si>
  <si>
    <t>Tabela 3 - Apuração sem Interconexão (ITX) e EILD
Tabela 1 (-) Tabela 2</t>
  </si>
  <si>
    <t>ROB Telecom
(demais)</t>
  </si>
  <si>
    <t>Ano fiscal:</t>
  </si>
  <si>
    <t>ITX /</t>
  </si>
  <si>
    <t>ICMS</t>
  </si>
  <si>
    <t>RECEITAS</t>
  </si>
  <si>
    <t>TOTAL ANUAL</t>
  </si>
  <si>
    <t>CODIGO</t>
  </si>
  <si>
    <t>CONTA</t>
  </si>
  <si>
    <t>EILD?</t>
  </si>
  <si>
    <r>
      <t>(A)</t>
    </r>
    <r>
      <rPr>
        <b/>
        <sz val="11"/>
        <rFont val="Calibri"/>
        <family val="2"/>
        <scheme val="minor"/>
      </rPr>
      <t xml:space="preserve"> Receita</t>
    </r>
  </si>
  <si>
    <r>
      <t xml:space="preserve">TOTAL </t>
    </r>
    <r>
      <rPr>
        <b/>
        <sz val="11"/>
        <color indexed="48"/>
        <rFont val="Calibri"/>
        <family val="2"/>
        <scheme val="minor"/>
      </rPr>
      <t xml:space="preserve"> </t>
    </r>
    <r>
      <rPr>
        <b/>
        <sz val="11"/>
        <color indexed="10"/>
        <rFont val="Calibri"/>
        <family val="2"/>
        <scheme val="minor"/>
      </rPr>
      <t>(A)</t>
    </r>
  </si>
  <si>
    <r>
      <t>(B)</t>
    </r>
    <r>
      <rPr>
        <b/>
        <sz val="11"/>
        <rFont val="Calibri"/>
        <family val="2"/>
        <scheme val="minor"/>
      </rPr>
      <t xml:space="preserve"> Cancelamentos e descontos incondicionais</t>
    </r>
  </si>
  <si>
    <r>
      <t xml:space="preserve">TOTAL </t>
    </r>
    <r>
      <rPr>
        <b/>
        <sz val="11"/>
        <color indexed="48"/>
        <rFont val="Calibri"/>
        <family val="2"/>
        <scheme val="minor"/>
      </rPr>
      <t xml:space="preserve"> </t>
    </r>
    <r>
      <rPr>
        <b/>
        <sz val="11"/>
        <color indexed="10"/>
        <rFont val="Calibri"/>
        <family val="2"/>
        <scheme val="minor"/>
      </rPr>
      <t>(B)</t>
    </r>
  </si>
  <si>
    <t>(A) + (B)</t>
  </si>
  <si>
    <t>EXCLUSÕES LEGAIS</t>
  </si>
  <si>
    <t>Alíquota</t>
  </si>
  <si>
    <t>( - )</t>
  </si>
  <si>
    <t>-</t>
  </si>
  <si>
    <t>PIS</t>
  </si>
  <si>
    <t>COFINS</t>
  </si>
  <si>
    <t>TOTAL</t>
  </si>
  <si>
    <t>BASE DE CÁLCULO</t>
  </si>
  <si>
    <t>VALORES DEVIDOS</t>
  </si>
  <si>
    <t>FUST</t>
  </si>
  <si>
    <t>FUNTTEL</t>
  </si>
  <si>
    <t>SEGREGAÇÃO INTERCONEXÃO/EILD</t>
  </si>
  <si>
    <t>Receita</t>
  </si>
  <si>
    <t>Cofins</t>
  </si>
  <si>
    <t>Base de Cálculo (apenas ITX/EILD)</t>
  </si>
  <si>
    <t>Fust</t>
  </si>
  <si>
    <t>Funttel</t>
  </si>
  <si>
    <t>Resumo para planilha de upload</t>
  </si>
  <si>
    <t>Receita operacional bruta:</t>
  </si>
  <si>
    <t>ICMS:</t>
  </si>
  <si>
    <t>PIS:</t>
  </si>
  <si>
    <t>COFINS:</t>
  </si>
  <si>
    <t>APENAS INTERCONEXÃO/EILD</t>
  </si>
  <si>
    <t>ITX</t>
  </si>
  <si>
    <t>EILD</t>
  </si>
  <si>
    <t>CÁLCULO DO ICMS A ABATER</t>
  </si>
  <si>
    <r>
      <t>ALÍQUOTAS MENSAIS MÉDIAS (</t>
    </r>
    <r>
      <rPr>
        <b/>
        <i/>
        <sz val="11"/>
        <rFont val="Calibri"/>
        <family val="2"/>
      </rPr>
      <t>pro rata temporis</t>
    </r>
    <r>
      <rPr>
        <b/>
        <sz val="11"/>
        <rFont val="Calibri"/>
        <family val="2"/>
        <scheme val="minor"/>
      </rPr>
      <t>)</t>
    </r>
  </si>
  <si>
    <r>
      <t xml:space="preserve">TOTAL </t>
    </r>
    <r>
      <rPr>
        <b/>
        <sz val="11"/>
        <color indexed="10"/>
        <rFont val="Calibri"/>
        <family val="2"/>
        <scheme val="minor"/>
      </rPr>
      <t xml:space="preserve"> (A)</t>
    </r>
  </si>
  <si>
    <r>
      <t>(A)</t>
    </r>
    <r>
      <rPr>
        <b/>
        <sz val="11"/>
        <rFont val="Calibri"/>
        <family val="2"/>
        <scheme val="minor"/>
      </rPr>
      <t xml:space="preserve"> + </t>
    </r>
    <r>
      <rPr>
        <b/>
        <sz val="11"/>
        <color indexed="10"/>
        <rFont val="Calibri"/>
        <family val="2"/>
        <scheme val="minor"/>
      </rPr>
      <t>(B)</t>
    </r>
  </si>
  <si>
    <t>ICMS contabilizado</t>
  </si>
  <si>
    <t>ICMS estimado x contabilizado</t>
  </si>
  <si>
    <t>(dos dois o menor)</t>
  </si>
  <si>
    <t>ICMS estimado x contabilizado (apenas ITX/EILD)</t>
  </si>
  <si>
    <t>Ano:</t>
  </si>
  <si>
    <t>Alíquotas ao final de cada mês (*valores totais já com eventuais adicionais dos Fundos estaduais de combate a pobreza)</t>
  </si>
  <si>
    <t>UF</t>
  </si>
  <si>
    <t>Alíquotas médias (ponderadas pelo número de dias em vigor)</t>
  </si>
  <si>
    <t>n/d</t>
  </si>
  <si>
    <t>NT</t>
  </si>
  <si>
    <t>Alíquotas estaduais ICMS - telecomunicações (*valores totais já com eventuais adicionais dos Fundos estaduais de combate a pobreza - FECP)</t>
  </si>
  <si>
    <t>Normativo Geral (apenas alíquota base, sem FECP)</t>
  </si>
  <si>
    <t>Normativo de vigência da LC 194/2022</t>
  </si>
  <si>
    <t>Vigência a partir de:</t>
  </si>
  <si>
    <t>Alíquota máxima</t>
  </si>
  <si>
    <t>Vigência a partir de:2</t>
  </si>
  <si>
    <t>Alíquota máxima3</t>
  </si>
  <si>
    <t>Vigência a partir de:4</t>
  </si>
  <si>
    <t>Alíquota máxima5</t>
  </si>
  <si>
    <t>Vigência a partir de:6</t>
  </si>
  <si>
    <t>Alíquota máxima7</t>
  </si>
  <si>
    <t>AC</t>
  </si>
  <si>
    <t>Lei Complementar 55/97 art. 18, III, Item 7 - DECRETO Nº 008, DE 26 DE JANEIRO DE 1998</t>
  </si>
  <si>
    <t>DECRETO Nº 11.084, DE 7 DE JULHO DE 2022</t>
  </si>
  <si>
    <t>AL</t>
  </si>
  <si>
    <t>Lei nº 5.900/96, art. 17, inciso I, d</t>
  </si>
  <si>
    <t>DECRETO Nº 83.840, DE 01 DE JULHO DE 2022</t>
  </si>
  <si>
    <t>AM</t>
  </si>
  <si>
    <t xml:space="preserve">Lei Complementar 19/1997, art. 12, inciso I, e, f </t>
  </si>
  <si>
    <t>DECRETO N° 45.973, DE 05 DE JULHO DE 2022</t>
  </si>
  <si>
    <t>AP</t>
  </si>
  <si>
    <t>DECRETO Nº 2269 DE 24 DE JULHO DE 1998 - Anexo I RICMS/AP - art. 25, inciso III, alínea a</t>
  </si>
  <si>
    <t>ADI 7.126 DE 14 de setembro de 2022</t>
  </si>
  <si>
    <t>BA</t>
  </si>
  <si>
    <t>Lei n° 7.014/1996 - art. 15, inciso V</t>
  </si>
  <si>
    <t>Decreto Nº 21494 DE 04/07/2022</t>
  </si>
  <si>
    <t>CE</t>
  </si>
  <si>
    <t>RICMS/CE - art. 45, inciso II, a</t>
  </si>
  <si>
    <t>Lei nº 18.154/22 e LC nº 287/22</t>
  </si>
  <si>
    <t>DF</t>
  </si>
  <si>
    <t>Lei nº 1.254/1996 - art. 18, inciso II, f</t>
  </si>
  <si>
    <t>Decreto nº 43.521/22</t>
  </si>
  <si>
    <t>ES</t>
  </si>
  <si>
    <t>RICMS/ES, art. 71, inciso IV</t>
  </si>
  <si>
    <t>Decreto nº 5164-R/22</t>
  </si>
  <si>
    <t>GO</t>
  </si>
  <si>
    <t>RCTE/GO, art. 20, §1º, V</t>
  </si>
  <si>
    <t>Nota GSE s/nº/2022 - DOE GO - Suplemento de 27.06.2022</t>
  </si>
  <si>
    <t>MA</t>
  </si>
  <si>
    <t>Lei nº 7.799/2002, art. 23, inciso III, alínea "h"</t>
  </si>
  <si>
    <t>Lei nº 11.792/2022</t>
  </si>
  <si>
    <t>MG</t>
  </si>
  <si>
    <t>Lei n° 6.763/1975, Item 10, tabela F</t>
  </si>
  <si>
    <t>Decreto nº 48.456/22</t>
  </si>
  <si>
    <t>MS</t>
  </si>
  <si>
    <t>Lei nº 1.810/1997, art. 41, inciso IV</t>
  </si>
  <si>
    <t>Decreto nº 15.990/22</t>
  </si>
  <si>
    <t>MT</t>
  </si>
  <si>
    <t>RICMS/MT, art. 95, inciso I, alínea "g"</t>
  </si>
  <si>
    <t>Mudança em Jan/22</t>
  </si>
  <si>
    <t>PA</t>
  </si>
  <si>
    <t>Lei n° 5.530/1989, art. 12, inciso I</t>
  </si>
  <si>
    <t>Decreto nº 2.476/22</t>
  </si>
  <si>
    <t>PB</t>
  </si>
  <si>
    <t>RICMS/PB, art. 13, inciso VI</t>
  </si>
  <si>
    <t>Decreto nº 42.656/22</t>
  </si>
  <si>
    <t>PE</t>
  </si>
  <si>
    <t>Lei nº 15.730/2016, art. 15, inciso I, alínea "a"</t>
  </si>
  <si>
    <t>Lei nº 17.898/22</t>
  </si>
  <si>
    <t>PI</t>
  </si>
  <si>
    <t>Lei 7.054/2017, art. 20, IV c/c Comunicado SEFAZ n° 06/2017</t>
  </si>
  <si>
    <t>Lei nº 7.846/22</t>
  </si>
  <si>
    <t>PR</t>
  </si>
  <si>
    <t>Lei n° 16.016/2008, art. 1º, inciso I</t>
  </si>
  <si>
    <t>Boletim Informativo nº 005/22</t>
  </si>
  <si>
    <t>RJ</t>
  </si>
  <si>
    <t>Lei 7.508/2016, art. 1</t>
  </si>
  <si>
    <t>Decreto nº 48.145/22</t>
  </si>
  <si>
    <t>RN</t>
  </si>
  <si>
    <t>Lei nº 6.968/1996, art. 27, inciso I, alínea “e”</t>
  </si>
  <si>
    <t>Decreto nº 31.656/22</t>
  </si>
  <si>
    <t>RO</t>
  </si>
  <si>
    <t>Lei Estadual n° 688/1996, art. 27, "e"</t>
  </si>
  <si>
    <t>Lei 5.364/2022</t>
  </si>
  <si>
    <t>RR</t>
  </si>
  <si>
    <t>Decreto 4335-E/2001, art. 46, iniciso III, a</t>
  </si>
  <si>
    <t>Decreto nº 32.806-E/22</t>
  </si>
  <si>
    <t>RS</t>
  </si>
  <si>
    <t>RICMS/RS, art. 28, inciso I do Livro I</t>
  </si>
  <si>
    <t>Decreto nº 56.573/22 e Decreto nº 56.604/22</t>
  </si>
  <si>
    <t>SC</t>
  </si>
  <si>
    <t>RICMS/SC, art. 26, inciso II, a</t>
  </si>
  <si>
    <t>MP 255/2022</t>
  </si>
  <si>
    <t>SE</t>
  </si>
  <si>
    <t> Decreto n° 30.113/2015, art. 1º</t>
  </si>
  <si>
    <t>Decreto nº 112/2022</t>
  </si>
  <si>
    <t>SP</t>
  </si>
  <si>
    <t>RICMS/SP, art. 55, inciso I</t>
  </si>
  <si>
    <t>Informativo SPF  D.O.E.</t>
  </si>
  <si>
    <t>TO</t>
  </si>
  <si>
    <t>Lei nº 1.287/2001, art. 27, inciso I, a</t>
  </si>
  <si>
    <t>MP nº 21/22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</si>
</sst>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(* #,##0.00_);_(* \(#,##0.00\);_(* &quot;-&quot;??_);_(@_)"/>
    <numFmt numFmtId="166" formatCode="mmm"/>
    <numFmt numFmtId="167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48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i/>
      <sz val="11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23">
    <xf numFmtId="0" fontId="0" fillId="0" borderId="0" xfId="0"/>
    <xf numFmtId="9" fontId="0" fillId="0" borderId="0" xfId="0" applyNumberFormat="1"/>
    <xf numFmtId="0" fontId="2" fillId="0" borderId="0" xfId="0" applyFont="1"/>
    <xf numFmtId="9" fontId="2" fillId="0" borderId="6" xfId="2" applyFont="1" applyBorder="1"/>
    <xf numFmtId="9" fontId="2" fillId="0" borderId="0" xfId="0" applyNumberFormat="1" applyFont="1"/>
    <xf numFmtId="9" fontId="2" fillId="0" borderId="0" xfId="2" quotePrefix="1" applyFont="1" applyBorder="1" applyAlignment="1">
      <alignment horizontal="center"/>
    </xf>
    <xf numFmtId="9" fontId="2" fillId="0" borderId="0" xfId="2" applyFont="1" applyBorder="1"/>
    <xf numFmtId="9" fontId="2" fillId="0" borderId="0" xfId="2" applyFont="1"/>
    <xf numFmtId="9" fontId="6" fillId="0" borderId="7" xfId="2" applyFont="1" applyBorder="1" applyAlignment="1">
      <alignment horizontal="center" vertical="center"/>
    </xf>
    <xf numFmtId="17" fontId="6" fillId="0" borderId="9" xfId="1" applyNumberFormat="1" applyFont="1" applyBorder="1" applyAlignment="1">
      <alignment horizontal="centerContinuous" vertical="center"/>
    </xf>
    <xf numFmtId="0" fontId="6" fillId="0" borderId="3" xfId="1" applyFont="1" applyBorder="1" applyAlignment="1">
      <alignment horizontal="center" vertical="center"/>
    </xf>
    <xf numFmtId="0" fontId="7" fillId="0" borderId="0" xfId="1" applyFont="1"/>
    <xf numFmtId="0" fontId="6" fillId="0" borderId="11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9" fontId="6" fillId="0" borderId="12" xfId="2" applyFont="1" applyBorder="1" applyAlignment="1">
      <alignment horizontal="center" vertical="center"/>
    </xf>
    <xf numFmtId="17" fontId="6" fillId="0" borderId="13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0" fontId="8" fillId="0" borderId="6" xfId="1" applyFont="1" applyBorder="1"/>
    <xf numFmtId="0" fontId="7" fillId="0" borderId="6" xfId="1" applyFont="1" applyBorder="1"/>
    <xf numFmtId="40" fontId="7" fillId="0" borderId="6" xfId="3" applyNumberFormat="1" applyFont="1" applyBorder="1" applyAlignment="1">
      <alignment horizontal="right" vertical="center"/>
    </xf>
    <xf numFmtId="0" fontId="7" fillId="0" borderId="1" xfId="3" applyNumberFormat="1" applyFont="1" applyBorder="1" applyAlignment="1">
      <alignment horizontal="left"/>
    </xf>
    <xf numFmtId="165" fontId="7" fillId="0" borderId="1" xfId="3" applyFont="1" applyBorder="1" applyAlignment="1">
      <alignment horizontal="left"/>
    </xf>
    <xf numFmtId="164" fontId="7" fillId="0" borderId="1" xfId="2" applyNumberFormat="1" applyFont="1" applyBorder="1" applyAlignment="1">
      <alignment horizontal="center"/>
    </xf>
    <xf numFmtId="165" fontId="7" fillId="0" borderId="1" xfId="3" applyFont="1" applyBorder="1" applyAlignment="1">
      <alignment horizontal="right" vertical="center"/>
    </xf>
    <xf numFmtId="164" fontId="7" fillId="0" borderId="0" xfId="2" applyNumberFormat="1" applyFont="1"/>
    <xf numFmtId="164" fontId="7" fillId="0" borderId="1" xfId="2" applyNumberFormat="1" applyFont="1" applyFill="1" applyBorder="1" applyAlignment="1">
      <alignment horizontal="center"/>
    </xf>
    <xf numFmtId="165" fontId="6" fillId="0" borderId="2" xfId="3" applyFont="1" applyBorder="1" applyAlignment="1">
      <alignment horizontal="right" vertical="center"/>
    </xf>
    <xf numFmtId="9" fontId="6" fillId="0" borderId="2" xfId="2" applyFont="1" applyBorder="1" applyAlignment="1">
      <alignment horizontal="center" vertical="center"/>
    </xf>
    <xf numFmtId="0" fontId="8" fillId="0" borderId="0" xfId="1" applyFont="1"/>
    <xf numFmtId="165" fontId="6" fillId="0" borderId="0" xfId="3" applyFont="1" applyBorder="1" applyAlignment="1">
      <alignment horizontal="center" vertical="center"/>
    </xf>
    <xf numFmtId="165" fontId="6" fillId="0" borderId="0" xfId="3" applyFont="1" applyBorder="1" applyAlignment="1">
      <alignment horizontal="right" vertical="center"/>
    </xf>
    <xf numFmtId="165" fontId="8" fillId="0" borderId="0" xfId="3" applyFont="1" applyBorder="1" applyAlignment="1">
      <alignment horizontal="right" vertical="center"/>
    </xf>
    <xf numFmtId="165" fontId="6" fillId="0" borderId="0" xfId="3" applyFont="1" applyBorder="1" applyAlignment="1">
      <alignment horizontal="left" vertical="center"/>
    </xf>
    <xf numFmtId="4" fontId="7" fillId="0" borderId="0" xfId="1" applyNumberFormat="1" applyFont="1"/>
    <xf numFmtId="165" fontId="7" fillId="0" borderId="0" xfId="1" applyNumberFormat="1" applyFont="1"/>
    <xf numFmtId="165" fontId="7" fillId="0" borderId="1" xfId="3" applyFont="1" applyFill="1" applyBorder="1" applyAlignment="1">
      <alignment horizontal="right" vertical="center"/>
    </xf>
    <xf numFmtId="0" fontId="6" fillId="0" borderId="0" xfId="1" applyFont="1" applyAlignment="1">
      <alignment horizontal="right"/>
    </xf>
    <xf numFmtId="165" fontId="7" fillId="0" borderId="0" xfId="3" applyFont="1" applyBorder="1" applyAlignment="1">
      <alignment horizontal="right" vertical="center"/>
    </xf>
    <xf numFmtId="0" fontId="6" fillId="0" borderId="0" xfId="1" applyFont="1"/>
    <xf numFmtId="40" fontId="7" fillId="0" borderId="0" xfId="3" applyNumberFormat="1" applyFont="1" applyBorder="1" applyAlignment="1">
      <alignment horizontal="right" vertical="center"/>
    </xf>
    <xf numFmtId="40" fontId="7" fillId="0" borderId="0" xfId="3" applyNumberFormat="1" applyFont="1" applyFill="1" applyBorder="1" applyAlignment="1">
      <alignment horizontal="right" vertical="center"/>
    </xf>
    <xf numFmtId="0" fontId="7" fillId="0" borderId="6" xfId="1" applyFont="1" applyBorder="1" applyAlignment="1">
      <alignment horizontal="center" vertical="center"/>
    </xf>
    <xf numFmtId="9" fontId="7" fillId="0" borderId="6" xfId="2" applyFont="1" applyBorder="1" applyAlignment="1">
      <alignment horizontal="center" vertical="center"/>
    </xf>
    <xf numFmtId="0" fontId="7" fillId="0" borderId="6" xfId="1" applyFont="1" applyBorder="1" applyAlignment="1">
      <alignment horizontal="right" vertical="center"/>
    </xf>
    <xf numFmtId="40" fontId="10" fillId="0" borderId="6" xfId="3" applyNumberFormat="1" applyFont="1" applyBorder="1" applyAlignment="1">
      <alignment horizontal="right" vertical="center"/>
    </xf>
    <xf numFmtId="9" fontId="7" fillId="0" borderId="0" xfId="2" applyFont="1"/>
    <xf numFmtId="0" fontId="5" fillId="0" borderId="0" xfId="1" applyFont="1" applyAlignment="1">
      <alignment horizontal="center"/>
    </xf>
    <xf numFmtId="17" fontId="6" fillId="0" borderId="8" xfId="1" applyNumberFormat="1" applyFont="1" applyBorder="1" applyAlignment="1">
      <alignment horizontal="centerContinuous" vertical="center"/>
    </xf>
    <xf numFmtId="165" fontId="6" fillId="0" borderId="2" xfId="3" applyFont="1" applyFill="1" applyBorder="1" applyAlignment="1">
      <alignment horizontal="right" vertical="center"/>
    </xf>
    <xf numFmtId="164" fontId="6" fillId="0" borderId="2" xfId="2" applyNumberFormat="1" applyFont="1" applyFill="1" applyBorder="1" applyAlignment="1">
      <alignment horizontal="center" vertical="center"/>
    </xf>
    <xf numFmtId="165" fontId="6" fillId="0" borderId="0" xfId="3" applyFont="1" applyFill="1" applyBorder="1" applyAlignment="1">
      <alignment horizontal="center" vertical="center"/>
    </xf>
    <xf numFmtId="164" fontId="6" fillId="0" borderId="0" xfId="2" applyNumberFormat="1" applyFont="1" applyFill="1" applyBorder="1" applyAlignment="1">
      <alignment horizontal="center" vertical="center"/>
    </xf>
    <xf numFmtId="165" fontId="6" fillId="0" borderId="0" xfId="3" applyFont="1" applyFill="1" applyBorder="1" applyAlignment="1">
      <alignment horizontal="right" vertical="center"/>
    </xf>
    <xf numFmtId="164" fontId="6" fillId="0" borderId="2" xfId="2" applyNumberFormat="1" applyFont="1" applyBorder="1" applyAlignment="1">
      <alignment horizontal="center" vertical="center"/>
    </xf>
    <xf numFmtId="164" fontId="6" fillId="0" borderId="0" xfId="2" applyNumberFormat="1" applyFont="1" applyBorder="1" applyAlignment="1">
      <alignment horizontal="center" vertical="center"/>
    </xf>
    <xf numFmtId="164" fontId="7" fillId="0" borderId="6" xfId="2" applyNumberFormat="1" applyFont="1" applyBorder="1" applyAlignment="1">
      <alignment horizontal="center" vertical="center"/>
    </xf>
    <xf numFmtId="165" fontId="7" fillId="0" borderId="6" xfId="3" applyFont="1" applyBorder="1" applyAlignment="1">
      <alignment horizontal="right" vertical="center"/>
    </xf>
    <xf numFmtId="165" fontId="10" fillId="0" borderId="6" xfId="3" applyFont="1" applyBorder="1" applyAlignment="1">
      <alignment horizontal="right" vertical="center"/>
    </xf>
    <xf numFmtId="165" fontId="6" fillId="0" borderId="9" xfId="3" applyFont="1" applyBorder="1" applyAlignment="1">
      <alignment horizontal="center" vertical="center"/>
    </xf>
    <xf numFmtId="164" fontId="6" fillId="0" borderId="9" xfId="2" applyNumberFormat="1" applyFont="1" applyBorder="1" applyAlignment="1">
      <alignment horizontal="center" vertical="center"/>
    </xf>
    <xf numFmtId="165" fontId="7" fillId="0" borderId="9" xfId="3" applyFont="1" applyBorder="1" applyAlignment="1">
      <alignment horizontal="right" vertical="center"/>
    </xf>
    <xf numFmtId="165" fontId="7" fillId="0" borderId="10" xfId="3" applyFont="1" applyBorder="1" applyAlignment="1">
      <alignment horizontal="right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7" fillId="0" borderId="0" xfId="1" applyFont="1" applyAlignment="1">
      <alignment vertical="center"/>
    </xf>
    <xf numFmtId="164" fontId="7" fillId="0" borderId="0" xfId="2" applyNumberFormat="1" applyFont="1" applyBorder="1" applyAlignment="1">
      <alignment horizontal="center" vertical="center"/>
    </xf>
    <xf numFmtId="165" fontId="7" fillId="0" borderId="5" xfId="3" applyFont="1" applyFill="1" applyBorder="1" applyAlignment="1">
      <alignment horizontal="right" vertical="center"/>
    </xf>
    <xf numFmtId="10" fontId="7" fillId="0" borderId="0" xfId="2" applyNumberFormat="1" applyFont="1" applyFill="1" applyBorder="1" applyAlignment="1">
      <alignment horizontal="center" vertical="center"/>
    </xf>
    <xf numFmtId="165" fontId="7" fillId="0" borderId="5" xfId="3" applyFont="1" applyBorder="1" applyAlignment="1">
      <alignment horizontal="right" vertical="center"/>
    </xf>
    <xf numFmtId="10" fontId="7" fillId="0" borderId="0" xfId="4" applyNumberFormat="1" applyFont="1"/>
    <xf numFmtId="164" fontId="7" fillId="0" borderId="0" xfId="2" applyNumberFormat="1" applyFont="1" applyFill="1" applyBorder="1" applyAlignment="1">
      <alignment horizontal="center" vertical="center"/>
    </xf>
    <xf numFmtId="0" fontId="13" fillId="0" borderId="9" xfId="3" applyNumberFormat="1" applyFont="1" applyBorder="1" applyAlignment="1">
      <alignment horizontal="left" vertical="center"/>
    </xf>
    <xf numFmtId="165" fontId="6" fillId="0" borderId="9" xfId="3" applyFont="1" applyBorder="1" applyAlignment="1">
      <alignment horizontal="right" vertical="center"/>
    </xf>
    <xf numFmtId="165" fontId="6" fillId="0" borderId="10" xfId="3" applyFont="1" applyBorder="1" applyAlignment="1">
      <alignment horizontal="right" vertical="center"/>
    </xf>
    <xf numFmtId="164" fontId="7" fillId="0" borderId="0" xfId="2" applyNumberFormat="1" applyFont="1" applyAlignment="1">
      <alignment horizontal="center"/>
    </xf>
    <xf numFmtId="165" fontId="7" fillId="0" borderId="0" xfId="3" applyFont="1"/>
    <xf numFmtId="9" fontId="7" fillId="0" borderId="0" xfId="2" applyFont="1" applyAlignment="1">
      <alignment horizontal="center"/>
    </xf>
    <xf numFmtId="9" fontId="7" fillId="0" borderId="0" xfId="2" applyFont="1" applyBorder="1" applyAlignment="1">
      <alignment horizontal="center"/>
    </xf>
    <xf numFmtId="9" fontId="7" fillId="0" borderId="0" xfId="2" applyFont="1" applyBorder="1" applyAlignment="1">
      <alignment horizontal="left"/>
    </xf>
    <xf numFmtId="9" fontId="7" fillId="0" borderId="0" xfId="2" applyFont="1" applyBorder="1"/>
    <xf numFmtId="0" fontId="7" fillId="0" borderId="0" xfId="1" applyFont="1" applyAlignment="1">
      <alignment horizontal="right"/>
    </xf>
    <xf numFmtId="165" fontId="7" fillId="0" borderId="2" xfId="1" applyNumberFormat="1" applyFont="1" applyBorder="1"/>
    <xf numFmtId="164" fontId="7" fillId="0" borderId="0" xfId="2" applyNumberFormat="1" applyFont="1" applyBorder="1" applyAlignment="1">
      <alignment horizontal="center"/>
    </xf>
    <xf numFmtId="0" fontId="12" fillId="0" borderId="0" xfId="1" applyFont="1"/>
    <xf numFmtId="0" fontId="6" fillId="0" borderId="15" xfId="1" applyFont="1" applyBorder="1"/>
    <xf numFmtId="0" fontId="6" fillId="0" borderId="2" xfId="1" applyFont="1" applyBorder="1"/>
    <xf numFmtId="9" fontId="7" fillId="0" borderId="2" xfId="2" applyFont="1" applyBorder="1" applyAlignment="1">
      <alignment horizontal="center"/>
    </xf>
    <xf numFmtId="0" fontId="7" fillId="0" borderId="2" xfId="1" applyFont="1" applyBorder="1"/>
    <xf numFmtId="0" fontId="7" fillId="0" borderId="4" xfId="1" applyFont="1" applyBorder="1"/>
    <xf numFmtId="165" fontId="7" fillId="0" borderId="0" xfId="3" applyFont="1" applyBorder="1"/>
    <xf numFmtId="0" fontId="6" fillId="0" borderId="4" xfId="1" applyFont="1" applyBorder="1"/>
    <xf numFmtId="0" fontId="7" fillId="0" borderId="16" xfId="1" applyFont="1" applyBorder="1"/>
    <xf numFmtId="9" fontId="7" fillId="0" borderId="6" xfId="2" applyFont="1" applyBorder="1"/>
    <xf numFmtId="165" fontId="7" fillId="0" borderId="6" xfId="1" applyNumberFormat="1" applyFont="1" applyBorder="1"/>
    <xf numFmtId="0" fontId="5" fillId="0" borderId="0" xfId="1" applyFont="1"/>
    <xf numFmtId="0" fontId="15" fillId="0" borderId="0" xfId="1" applyFont="1" applyAlignment="1">
      <alignment horizontal="right"/>
    </xf>
    <xf numFmtId="0" fontId="17" fillId="0" borderId="0" xfId="1" applyFont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64" fontId="0" fillId="2" borderId="18" xfId="0" applyNumberFormat="1" applyFill="1" applyBorder="1" applyAlignment="1">
      <alignment horizontal="center"/>
    </xf>
    <xf numFmtId="14" fontId="0" fillId="2" borderId="18" xfId="0" applyNumberFormat="1" applyFill="1" applyBorder="1" applyAlignment="1">
      <alignment horizontal="center"/>
    </xf>
    <xf numFmtId="14" fontId="0" fillId="2" borderId="18" xfId="0" applyNumberFormat="1" applyFill="1" applyBorder="1" applyAlignment="1">
      <alignment horizontal="center" vertical="center"/>
    </xf>
    <xf numFmtId="0" fontId="0" fillId="2" borderId="18" xfId="0" applyFill="1" applyBorder="1"/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4" fontId="0" fillId="0" borderId="21" xfId="0" applyNumberFormat="1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164" fontId="0" fillId="2" borderId="21" xfId="0" applyNumberFormat="1" applyFill="1" applyBorder="1" applyAlignment="1">
      <alignment horizontal="center"/>
    </xf>
    <xf numFmtId="14" fontId="0" fillId="2" borderId="21" xfId="0" applyNumberFormat="1" applyFill="1" applyBorder="1" applyAlignment="1">
      <alignment horizontal="center"/>
    </xf>
    <xf numFmtId="14" fontId="0" fillId="2" borderId="21" xfId="0" applyNumberFormat="1" applyFill="1" applyBorder="1" applyAlignment="1">
      <alignment horizontal="center" vertical="center"/>
    </xf>
    <xf numFmtId="0" fontId="0" fillId="2" borderId="21" xfId="0" applyFill="1" applyBorder="1"/>
    <xf numFmtId="0" fontId="0" fillId="2" borderId="21" xfId="0" applyFill="1" applyBorder="1" applyAlignment="1">
      <alignment horizontal="left"/>
    </xf>
    <xf numFmtId="0" fontId="0" fillId="2" borderId="22" xfId="0" applyFill="1" applyBorder="1" applyAlignment="1">
      <alignment horizontal="center"/>
    </xf>
    <xf numFmtId="14" fontId="0" fillId="2" borderId="20" xfId="0" applyNumberForma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64" fontId="0" fillId="2" borderId="20" xfId="0" applyNumberFormat="1" applyFill="1" applyBorder="1" applyAlignment="1">
      <alignment horizontal="center"/>
    </xf>
    <xf numFmtId="0" fontId="3" fillId="3" borderId="20" xfId="0" applyFont="1" applyFill="1" applyBorder="1" applyAlignment="1">
      <alignment horizontal="center" vertical="top" wrapText="1"/>
    </xf>
    <xf numFmtId="0" fontId="3" fillId="3" borderId="21" xfId="0" applyFont="1" applyFill="1" applyBorder="1" applyAlignment="1">
      <alignment horizontal="center" vertical="top" wrapText="1"/>
    </xf>
    <xf numFmtId="0" fontId="3" fillId="3" borderId="21" xfId="0" applyFont="1" applyFill="1" applyBorder="1" applyAlignment="1">
      <alignment vertical="top" wrapText="1"/>
    </xf>
    <xf numFmtId="0" fontId="3" fillId="3" borderId="22" xfId="0" applyFont="1" applyFill="1" applyBorder="1" applyAlignment="1">
      <alignment horizontal="center" vertical="top"/>
    </xf>
    <xf numFmtId="0" fontId="16" fillId="0" borderId="0" xfId="0" applyFont="1"/>
    <xf numFmtId="164" fontId="0" fillId="4" borderId="23" xfId="4" applyNumberFormat="1" applyFont="1" applyFill="1" applyBorder="1"/>
    <xf numFmtId="164" fontId="0" fillId="4" borderId="11" xfId="4" applyNumberFormat="1" applyFont="1" applyFill="1" applyBorder="1"/>
    <xf numFmtId="164" fontId="18" fillId="4" borderId="11" xfId="4" applyNumberFormat="1" applyFont="1" applyFill="1" applyBorder="1"/>
    <xf numFmtId="0" fontId="6" fillId="4" borderId="24" xfId="0" applyFont="1" applyFill="1" applyBorder="1" applyAlignment="1">
      <alignment horizontal="center"/>
    </xf>
    <xf numFmtId="164" fontId="0" fillId="5" borderId="25" xfId="4" applyNumberFormat="1" applyFont="1" applyFill="1" applyBorder="1"/>
    <xf numFmtId="164" fontId="0" fillId="5" borderId="1" xfId="4" applyNumberFormat="1" applyFont="1" applyFill="1" applyBorder="1"/>
    <xf numFmtId="164" fontId="18" fillId="5" borderId="1" xfId="4" applyNumberFormat="1" applyFont="1" applyFill="1" applyBorder="1"/>
    <xf numFmtId="0" fontId="6" fillId="5" borderId="26" xfId="0" applyFont="1" applyFill="1" applyBorder="1" applyAlignment="1">
      <alignment horizontal="center"/>
    </xf>
    <xf numFmtId="164" fontId="0" fillId="4" borderId="25" xfId="4" applyNumberFormat="1" applyFont="1" applyFill="1" applyBorder="1"/>
    <xf numFmtId="164" fontId="0" fillId="4" borderId="1" xfId="4" applyNumberFormat="1" applyFont="1" applyFill="1" applyBorder="1"/>
    <xf numFmtId="164" fontId="18" fillId="4" borderId="1" xfId="4" applyNumberFormat="1" applyFont="1" applyFill="1" applyBorder="1"/>
    <xf numFmtId="0" fontId="6" fillId="4" borderId="26" xfId="0" applyFont="1" applyFill="1" applyBorder="1" applyAlignment="1">
      <alignment horizontal="center"/>
    </xf>
    <xf numFmtId="17" fontId="4" fillId="6" borderId="27" xfId="0" applyNumberFormat="1" applyFont="1" applyFill="1" applyBorder="1" applyAlignment="1">
      <alignment horizontal="center"/>
    </xf>
    <xf numFmtId="17" fontId="4" fillId="6" borderId="28" xfId="0" applyNumberFormat="1" applyFont="1" applyFill="1" applyBorder="1" applyAlignment="1">
      <alignment horizontal="center"/>
    </xf>
    <xf numFmtId="166" fontId="19" fillId="6" borderId="28" xfId="0" applyNumberFormat="1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top"/>
    </xf>
    <xf numFmtId="10" fontId="0" fillId="0" borderId="0" xfId="4" applyNumberFormat="1" applyFont="1"/>
    <xf numFmtId="0" fontId="11" fillId="0" borderId="0" xfId="0" applyFont="1"/>
    <xf numFmtId="14" fontId="0" fillId="0" borderId="0" xfId="0" applyNumberFormat="1"/>
    <xf numFmtId="0" fontId="20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6" fillId="6" borderId="30" xfId="0" applyFont="1" applyFill="1" applyBorder="1" applyAlignment="1">
      <alignment horizontal="center" vertical="top"/>
    </xf>
    <xf numFmtId="166" fontId="19" fillId="6" borderId="31" xfId="0" applyNumberFormat="1" applyFont="1" applyFill="1" applyBorder="1" applyAlignment="1">
      <alignment horizontal="center"/>
    </xf>
    <xf numFmtId="164" fontId="4" fillId="6" borderId="31" xfId="4" applyNumberFormat="1" applyFont="1" applyFill="1" applyBorder="1" applyAlignment="1">
      <alignment horizontal="right"/>
    </xf>
    <xf numFmtId="164" fontId="4" fillId="6" borderId="32" xfId="4" applyNumberFormat="1" applyFont="1" applyFill="1" applyBorder="1" applyAlignment="1">
      <alignment horizontal="right"/>
    </xf>
    <xf numFmtId="0" fontId="6" fillId="0" borderId="9" xfId="1" applyFont="1" applyBorder="1" applyAlignment="1">
      <alignment horizontal="centerContinuous"/>
    </xf>
    <xf numFmtId="0" fontId="0" fillId="0" borderId="0" xfId="0" applyAlignment="1">
      <alignment horizontal="center" vertical="center"/>
    </xf>
    <xf numFmtId="165" fontId="7" fillId="0" borderId="1" xfId="3" applyFont="1" applyBorder="1" applyAlignment="1">
      <alignment horizontal="center"/>
    </xf>
    <xf numFmtId="167" fontId="7" fillId="0" borderId="1" xfId="3" applyNumberFormat="1" applyFont="1" applyBorder="1" applyAlignment="1">
      <alignment horizontal="center"/>
    </xf>
    <xf numFmtId="0" fontId="6" fillId="0" borderId="8" xfId="1" applyFont="1" applyBorder="1" applyAlignment="1">
      <alignment horizontal="centerContinuous"/>
    </xf>
    <xf numFmtId="0" fontId="6" fillId="0" borderId="10" xfId="1" applyFont="1" applyBorder="1" applyAlignment="1">
      <alignment horizontal="centerContinuous"/>
    </xf>
    <xf numFmtId="17" fontId="6" fillId="0" borderId="4" xfId="1" applyNumberFormat="1" applyFont="1" applyBorder="1"/>
    <xf numFmtId="17" fontId="6" fillId="0" borderId="0" xfId="1" applyNumberFormat="1" applyFont="1"/>
    <xf numFmtId="17" fontId="6" fillId="0" borderId="5" xfId="1" applyNumberFormat="1" applyFont="1" applyBorder="1"/>
    <xf numFmtId="0" fontId="7" fillId="0" borderId="5" xfId="1" applyFont="1" applyBorder="1"/>
    <xf numFmtId="0" fontId="0" fillId="0" borderId="0" xfId="0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0" fillId="0" borderId="0" xfId="0" applyFont="1" applyAlignment="1">
      <alignment horizontal="center"/>
    </xf>
    <xf numFmtId="0" fontId="6" fillId="4" borderId="33" xfId="0" applyFont="1" applyFill="1" applyBorder="1" applyAlignment="1">
      <alignment horizontal="center"/>
    </xf>
    <xf numFmtId="164" fontId="18" fillId="4" borderId="7" xfId="4" applyNumberFormat="1" applyFont="1" applyFill="1" applyBorder="1"/>
    <xf numFmtId="164" fontId="0" fillId="4" borderId="7" xfId="4" applyNumberFormat="1" applyFont="1" applyFill="1" applyBorder="1"/>
    <xf numFmtId="164" fontId="0" fillId="4" borderId="34" xfId="4" applyNumberFormat="1" applyFont="1" applyFill="1" applyBorder="1"/>
    <xf numFmtId="0" fontId="0" fillId="6" borderId="24" xfId="0" applyFill="1" applyBorder="1" applyAlignment="1">
      <alignment horizontal="center"/>
    </xf>
    <xf numFmtId="0" fontId="0" fillId="6" borderId="11" xfId="0" applyFill="1" applyBorder="1"/>
    <xf numFmtId="164" fontId="0" fillId="6" borderId="11" xfId="0" applyNumberFormat="1" applyFill="1" applyBorder="1"/>
    <xf numFmtId="164" fontId="0" fillId="6" borderId="23" xfId="0" applyNumberFormat="1" applyFill="1" applyBorder="1"/>
    <xf numFmtId="0" fontId="7" fillId="0" borderId="1" xfId="1" applyFont="1" applyBorder="1" applyAlignment="1" applyProtection="1">
      <alignment horizontal="left"/>
      <protection locked="0"/>
    </xf>
    <xf numFmtId="0" fontId="7" fillId="0" borderId="1" xfId="1" applyFont="1" applyBorder="1" applyAlignment="1" applyProtection="1">
      <alignment horizontal="center"/>
      <protection locked="0"/>
    </xf>
    <xf numFmtId="164" fontId="7" fillId="0" borderId="1" xfId="2" applyNumberFormat="1" applyFont="1" applyFill="1" applyBorder="1" applyAlignment="1" applyProtection="1">
      <alignment horizontal="center"/>
      <protection locked="0"/>
    </xf>
    <xf numFmtId="165" fontId="7" fillId="0" borderId="1" xfId="3" applyFont="1" applyFill="1" applyBorder="1" applyAlignment="1" applyProtection="1">
      <alignment horizontal="right" vertical="center"/>
      <protection locked="0"/>
    </xf>
    <xf numFmtId="165" fontId="7" fillId="0" borderId="1" xfId="3" applyFont="1" applyFill="1" applyBorder="1" applyAlignment="1" applyProtection="1">
      <alignment horizontal="left" vertical="center"/>
      <protection locked="0"/>
    </xf>
    <xf numFmtId="9" fontId="2" fillId="0" borderId="1" xfId="2" quotePrefix="1" applyFont="1" applyFill="1" applyBorder="1" applyAlignment="1" applyProtection="1">
      <alignment horizontal="center"/>
      <protection locked="0"/>
    </xf>
    <xf numFmtId="164" fontId="7" fillId="0" borderId="1" xfId="4" applyNumberFormat="1" applyFont="1" applyBorder="1" applyProtection="1">
      <protection locked="0"/>
    </xf>
    <xf numFmtId="0" fontId="17" fillId="0" borderId="0" xfId="1" applyFont="1" applyAlignment="1" applyProtection="1">
      <alignment horizontal="center"/>
      <protection locked="0"/>
    </xf>
    <xf numFmtId="0" fontId="16" fillId="0" borderId="0" xfId="0" applyFont="1" applyAlignment="1">
      <alignment horizontal="center"/>
    </xf>
    <xf numFmtId="4" fontId="22" fillId="0" borderId="0" xfId="1" applyNumberFormat="1" applyFont="1"/>
    <xf numFmtId="165" fontId="22" fillId="0" borderId="0" xfId="1" applyNumberFormat="1" applyFont="1"/>
    <xf numFmtId="0" fontId="22" fillId="0" borderId="0" xfId="1" applyFont="1"/>
    <xf numFmtId="0" fontId="4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31" xfId="0" applyFont="1" applyBorder="1" applyAlignment="1">
      <alignment vertical="center"/>
    </xf>
    <xf numFmtId="0" fontId="0" fillId="0" borderId="31" xfId="0" applyBorder="1" applyAlignment="1">
      <alignment vertical="top"/>
    </xf>
    <xf numFmtId="0" fontId="2" fillId="0" borderId="1" xfId="1" applyFont="1" applyBorder="1" applyAlignment="1" applyProtection="1">
      <alignment horizontal="left"/>
      <protection locked="0"/>
    </xf>
    <xf numFmtId="9" fontId="14" fillId="0" borderId="9" xfId="2" applyFont="1" applyBorder="1" applyAlignment="1">
      <alignment horizontal="left" vertical="center"/>
    </xf>
    <xf numFmtId="0" fontId="4" fillId="0" borderId="0" xfId="5" applyFont="1" applyAlignment="1">
      <alignment horizontal="centerContinuous"/>
    </xf>
    <xf numFmtId="0" fontId="2" fillId="0" borderId="0" xfId="5" applyAlignment="1">
      <alignment horizontal="centerContinuous"/>
    </xf>
    <xf numFmtId="0" fontId="2" fillId="0" borderId="0" xfId="5"/>
    <xf numFmtId="0" fontId="4" fillId="0" borderId="1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 wrapText="1"/>
    </xf>
    <xf numFmtId="0" fontId="2" fillId="0" borderId="1" xfId="5" applyBorder="1" applyAlignment="1">
      <alignment horizontal="center" vertical="center"/>
    </xf>
    <xf numFmtId="43" fontId="0" fillId="0" borderId="1" xfId="6" applyFont="1" applyBorder="1" applyAlignment="1">
      <alignment horizontal="center" vertical="center"/>
    </xf>
    <xf numFmtId="43" fontId="4" fillId="0" borderId="1" xfId="6" applyFont="1" applyBorder="1" applyAlignment="1">
      <alignment horizontal="center" vertical="center"/>
    </xf>
    <xf numFmtId="0" fontId="2" fillId="0" borderId="0" xfId="5" applyAlignment="1">
      <alignment wrapText="1"/>
    </xf>
    <xf numFmtId="0" fontId="4" fillId="0" borderId="0" xfId="5" applyFont="1" applyAlignment="1">
      <alignment horizontal="centerContinuous" wrapText="1"/>
    </xf>
    <xf numFmtId="165" fontId="7" fillId="0" borderId="4" xfId="3" applyFont="1" applyBorder="1" applyAlignment="1">
      <alignment horizontal="right" vertical="center"/>
    </xf>
    <xf numFmtId="165" fontId="7" fillId="0" borderId="4" xfId="3" applyFont="1" applyBorder="1"/>
    <xf numFmtId="165" fontId="7" fillId="0" borderId="1" xfId="3" applyFont="1" applyBorder="1" applyAlignment="1" applyProtection="1">
      <alignment horizontal="right" vertical="center"/>
      <protection locked="0"/>
    </xf>
    <xf numFmtId="0" fontId="13" fillId="0" borderId="8" xfId="3" applyNumberFormat="1" applyFont="1" applyBorder="1" applyAlignment="1">
      <alignment horizontal="left" vertical="center"/>
    </xf>
    <xf numFmtId="0" fontId="13" fillId="0" borderId="10" xfId="3" applyNumberFormat="1" applyFont="1" applyBorder="1" applyAlignment="1">
      <alignment horizontal="left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165" fontId="6" fillId="0" borderId="2" xfId="3" applyFont="1" applyFill="1" applyBorder="1" applyAlignment="1">
      <alignment horizontal="right" vertical="center"/>
    </xf>
    <xf numFmtId="165" fontId="6" fillId="0" borderId="2" xfId="3" applyFont="1" applyBorder="1" applyAlignment="1">
      <alignment horizontal="right" vertical="center"/>
    </xf>
    <xf numFmtId="165" fontId="6" fillId="0" borderId="8" xfId="3" applyFont="1" applyBorder="1" applyAlignment="1">
      <alignment horizontal="center" vertical="center"/>
    </xf>
    <xf numFmtId="165" fontId="6" fillId="0" borderId="10" xfId="3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</cellXfs>
  <cellStyles count="7">
    <cellStyle name="Normal" xfId="0" builtinId="0"/>
    <cellStyle name="Normal 2" xfId="1" xr:uid="{DF745CF4-A58D-4542-851B-16DD5805D7C3}"/>
    <cellStyle name="Normal 2 2" xfId="5" xr:uid="{A38A662F-488F-4911-AEB1-8FF3FBCE0DCD}"/>
    <cellStyle name="Porcentagem" xfId="4" builtinId="5"/>
    <cellStyle name="Porcentagem 2" xfId="2" xr:uid="{3B9B85E1-C096-4645-ADC7-C67CFD8F0B28}"/>
    <cellStyle name="Vírgula 2" xfId="3" xr:uid="{8BDE5211-A367-4263-82FB-F23369951144}"/>
    <cellStyle name="Vírgula 2 2" xfId="6" xr:uid="{6CAA3643-E4F8-4468-BED3-3366E635CF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nilsio Pereira Luiz Filho" id="{308A4DA5-19CC-4DF6-B107-74E14CD1A7E6}" userId="S::enilsio@anatel.gov.br::828d6abf-aecd-45ac-8ddd-0b29caa2b6eb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4-02-07T11:56:11.70" personId="{308A4DA5-19CC-4DF6-B107-74E14CD1A7E6}" id="{767FE9A7-0584-4CD3-8B63-1E9029D1F54F}">
    <text>Voz / SMS / MMS - 30%
Dados - 20%</text>
  </threadedComment>
  <threadedComment ref="F25" dT="2024-02-06T17:29:32.76" personId="{308A4DA5-19CC-4DF6-B107-74E14CD1A7E6}" id="{A70D6D26-9FB9-48AE-8676-20333B4D867C}">
    <text>Apenas banda larga 27%. O restante, 35%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4118-480E-407C-B2D0-72B70DE42435}">
  <sheetPr>
    <tabColor rgb="FFC00000"/>
  </sheetPr>
  <dimension ref="B2:C17"/>
  <sheetViews>
    <sheetView showGridLines="0" tabSelected="1" zoomScaleNormal="100" workbookViewId="0"/>
  </sheetViews>
  <sheetFormatPr defaultRowHeight="15" x14ac:dyDescent="0.25"/>
  <cols>
    <col min="1" max="1" width="2.7109375" customWidth="1"/>
    <col min="2" max="2" width="3.5703125" style="168" customWidth="1"/>
    <col min="3" max="3" width="162.28515625" customWidth="1"/>
  </cols>
  <sheetData>
    <row r="2" spans="2:3" ht="18.75" x14ac:dyDescent="0.3">
      <c r="C2" s="188" t="s">
        <v>0</v>
      </c>
    </row>
    <row r="4" spans="2:3" s="167" customFormat="1" ht="24" customHeight="1" x14ac:dyDescent="0.25">
      <c r="B4" s="169" t="s">
        <v>1</v>
      </c>
      <c r="C4" s="170" t="s">
        <v>2</v>
      </c>
    </row>
    <row r="5" spans="2:3" s="167" customFormat="1" ht="24" customHeight="1" x14ac:dyDescent="0.25">
      <c r="B5" s="169" t="s">
        <v>3</v>
      </c>
      <c r="C5" s="170" t="s">
        <v>4</v>
      </c>
    </row>
    <row r="6" spans="2:3" s="167" customFormat="1" ht="24" customHeight="1" x14ac:dyDescent="0.25">
      <c r="B6" s="169" t="s">
        <v>5</v>
      </c>
      <c r="C6" s="170" t="s">
        <v>6</v>
      </c>
    </row>
    <row r="7" spans="2:3" s="167" customFormat="1" ht="24" customHeight="1" x14ac:dyDescent="0.25">
      <c r="B7" s="192" t="s">
        <v>7</v>
      </c>
      <c r="C7" s="193" t="s">
        <v>8</v>
      </c>
    </row>
    <row r="8" spans="2:3" s="167" customFormat="1" ht="24" customHeight="1" x14ac:dyDescent="0.25">
      <c r="B8" s="194"/>
      <c r="C8" s="195" t="s">
        <v>9</v>
      </c>
    </row>
    <row r="9" spans="2:3" s="167" customFormat="1" ht="24" customHeight="1" x14ac:dyDescent="0.25">
      <c r="B9" s="192" t="s">
        <v>10</v>
      </c>
      <c r="C9" s="193" t="s">
        <v>11</v>
      </c>
    </row>
    <row r="10" spans="2:3" s="167" customFormat="1" ht="24" customHeight="1" x14ac:dyDescent="0.25">
      <c r="B10" s="194"/>
      <c r="C10" s="195" t="s">
        <v>12</v>
      </c>
    </row>
    <row r="11" spans="2:3" s="167" customFormat="1" ht="24" customHeight="1" x14ac:dyDescent="0.25">
      <c r="B11" s="192" t="s">
        <v>13</v>
      </c>
      <c r="C11" s="193" t="s">
        <v>14</v>
      </c>
    </row>
    <row r="12" spans="2:3" s="167" customFormat="1" ht="24" customHeight="1" x14ac:dyDescent="0.25">
      <c r="B12" s="194"/>
      <c r="C12" s="195" t="s">
        <v>15</v>
      </c>
    </row>
    <row r="13" spans="2:3" s="167" customFormat="1" ht="24" customHeight="1" x14ac:dyDescent="0.25">
      <c r="B13" s="169" t="s">
        <v>16</v>
      </c>
      <c r="C13" s="170" t="s">
        <v>17</v>
      </c>
    </row>
    <row r="14" spans="2:3" s="167" customFormat="1" ht="24" customHeight="1" x14ac:dyDescent="0.25">
      <c r="B14" s="169" t="s">
        <v>18</v>
      </c>
      <c r="C14" s="170" t="s">
        <v>19</v>
      </c>
    </row>
    <row r="15" spans="2:3" s="167" customFormat="1" ht="24" customHeight="1" x14ac:dyDescent="0.25">
      <c r="B15" s="169" t="s">
        <v>20</v>
      </c>
      <c r="C15" s="170" t="s">
        <v>21</v>
      </c>
    </row>
    <row r="16" spans="2:3" s="167" customFormat="1" ht="24" customHeight="1" x14ac:dyDescent="0.25">
      <c r="B16" s="169" t="s">
        <v>22</v>
      </c>
      <c r="C16" s="170" t="s">
        <v>23</v>
      </c>
    </row>
    <row r="17" spans="2:3" s="167" customFormat="1" ht="24" customHeight="1" x14ac:dyDescent="0.25">
      <c r="B17" s="169" t="s">
        <v>24</v>
      </c>
      <c r="C17" s="170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C972-1FAE-4830-9CE6-FB8E809AB3B4}">
  <dimension ref="B2:H50"/>
  <sheetViews>
    <sheetView zoomScale="80" zoomScaleNormal="80" workbookViewId="0"/>
  </sheetViews>
  <sheetFormatPr defaultColWidth="9.140625" defaultRowHeight="15" x14ac:dyDescent="0.25"/>
  <cols>
    <col min="1" max="1" width="3.7109375" style="200" customWidth="1"/>
    <col min="2" max="2" width="13.7109375" style="200" customWidth="1"/>
    <col min="3" max="3" width="18.5703125" style="200" customWidth="1"/>
    <col min="4" max="8" width="16.42578125" style="200" customWidth="1"/>
    <col min="9" max="9" width="9.140625" style="200"/>
    <col min="10" max="10" width="9.140625" style="200" customWidth="1"/>
    <col min="11" max="16384" width="9.140625" style="200"/>
  </cols>
  <sheetData>
    <row r="2" spans="2:8" x14ac:dyDescent="0.25">
      <c r="B2" s="198" t="str">
        <f>"Tabela 1 - Totais apurados - "&amp;Apuração!$C$1</f>
        <v>Tabela 1 - Totais apurados - 2022</v>
      </c>
      <c r="C2" s="199"/>
      <c r="D2" s="199"/>
      <c r="E2" s="199"/>
      <c r="F2" s="199"/>
      <c r="G2" s="199"/>
      <c r="H2" s="199"/>
    </row>
    <row r="3" spans="2:8" ht="30" x14ac:dyDescent="0.25">
      <c r="B3" s="201" t="s">
        <v>26</v>
      </c>
      <c r="C3" s="202" t="s">
        <v>27</v>
      </c>
      <c r="D3" s="201" t="s">
        <v>28</v>
      </c>
      <c r="E3" s="201" t="s">
        <v>29</v>
      </c>
      <c r="F3" s="201" t="s">
        <v>30</v>
      </c>
      <c r="G3" s="202" t="s">
        <v>31</v>
      </c>
      <c r="H3" s="202" t="s">
        <v>32</v>
      </c>
    </row>
    <row r="4" spans="2:8" x14ac:dyDescent="0.25">
      <c r="B4" s="203" t="s">
        <v>33</v>
      </c>
      <c r="C4" s="204">
        <f>Apuração!$F$45</f>
        <v>0</v>
      </c>
      <c r="D4" s="204">
        <f>Apuração!$F$46</f>
        <v>0</v>
      </c>
      <c r="E4" s="204">
        <f>Apuração!$F$47</f>
        <v>0</v>
      </c>
      <c r="F4" s="204">
        <f>Apuração!$F$48</f>
        <v>0</v>
      </c>
      <c r="G4" s="204">
        <f>TRUNC(SUM(C4,-D4,-E4,-F4)*1%,2)</f>
        <v>0</v>
      </c>
      <c r="H4" s="204">
        <f>TRUNC(SUM(C4,-D4,-E4,-F4)*0.5%,2)</f>
        <v>0</v>
      </c>
    </row>
    <row r="5" spans="2:8" x14ac:dyDescent="0.25">
      <c r="B5" s="203" t="s">
        <v>34</v>
      </c>
      <c r="C5" s="204">
        <f>Apuração!$G$45</f>
        <v>0</v>
      </c>
      <c r="D5" s="204">
        <f>Apuração!$G$46</f>
        <v>0</v>
      </c>
      <c r="E5" s="204">
        <f>Apuração!$G$47</f>
        <v>0</v>
      </c>
      <c r="F5" s="204">
        <f>Apuração!$G$48</f>
        <v>0</v>
      </c>
      <c r="G5" s="204">
        <f t="shared" ref="G5:G15" si="0">TRUNC(SUM(C5,-D5,-E5,-F5)*1%,2)</f>
        <v>0</v>
      </c>
      <c r="H5" s="204">
        <f t="shared" ref="H5:H15" si="1">TRUNC(SUM(C5,-D5,-E5,-F5)*0.5%,2)</f>
        <v>0</v>
      </c>
    </row>
    <row r="6" spans="2:8" x14ac:dyDescent="0.25">
      <c r="B6" s="203" t="s">
        <v>35</v>
      </c>
      <c r="C6" s="204">
        <f>Apuração!$H$45</f>
        <v>0</v>
      </c>
      <c r="D6" s="204">
        <f>Apuração!$H$46</f>
        <v>0</v>
      </c>
      <c r="E6" s="204">
        <f>Apuração!$H$47</f>
        <v>0</v>
      </c>
      <c r="F6" s="204">
        <f>Apuração!$H$48</f>
        <v>0</v>
      </c>
      <c r="G6" s="204">
        <f t="shared" si="0"/>
        <v>0</v>
      </c>
      <c r="H6" s="204">
        <f t="shared" si="1"/>
        <v>0</v>
      </c>
    </row>
    <row r="7" spans="2:8" x14ac:dyDescent="0.25">
      <c r="B7" s="203" t="s">
        <v>36</v>
      </c>
      <c r="C7" s="204">
        <f>Apuração!$I$45</f>
        <v>0</v>
      </c>
      <c r="D7" s="204">
        <f>Apuração!$I$46</f>
        <v>0</v>
      </c>
      <c r="E7" s="204">
        <f>Apuração!$I$47</f>
        <v>0</v>
      </c>
      <c r="F7" s="204">
        <f>Apuração!$I$48</f>
        <v>0</v>
      </c>
      <c r="G7" s="204">
        <f t="shared" si="0"/>
        <v>0</v>
      </c>
      <c r="H7" s="204">
        <f t="shared" si="1"/>
        <v>0</v>
      </c>
    </row>
    <row r="8" spans="2:8" x14ac:dyDescent="0.25">
      <c r="B8" s="203" t="s">
        <v>37</v>
      </c>
      <c r="C8" s="204">
        <f>Apuração!$J$45</f>
        <v>0</v>
      </c>
      <c r="D8" s="204">
        <f>Apuração!$J$46</f>
        <v>0</v>
      </c>
      <c r="E8" s="204">
        <f>Apuração!$J$47</f>
        <v>0</v>
      </c>
      <c r="F8" s="204">
        <f>Apuração!$J$48</f>
        <v>0</v>
      </c>
      <c r="G8" s="204">
        <f t="shared" si="0"/>
        <v>0</v>
      </c>
      <c r="H8" s="204">
        <f t="shared" si="1"/>
        <v>0</v>
      </c>
    </row>
    <row r="9" spans="2:8" x14ac:dyDescent="0.25">
      <c r="B9" s="203" t="s">
        <v>38</v>
      </c>
      <c r="C9" s="204">
        <f>Apuração!$K$45</f>
        <v>0</v>
      </c>
      <c r="D9" s="204">
        <f>Apuração!$K$46</f>
        <v>0</v>
      </c>
      <c r="E9" s="204">
        <f>Apuração!$K$47</f>
        <v>0</v>
      </c>
      <c r="F9" s="204">
        <f>Apuração!$K$48</f>
        <v>0</v>
      </c>
      <c r="G9" s="204">
        <f t="shared" si="0"/>
        <v>0</v>
      </c>
      <c r="H9" s="204">
        <f t="shared" si="1"/>
        <v>0</v>
      </c>
    </row>
    <row r="10" spans="2:8" x14ac:dyDescent="0.25">
      <c r="B10" s="203" t="s">
        <v>39</v>
      </c>
      <c r="C10" s="204">
        <f>Apuração!$L$45</f>
        <v>0</v>
      </c>
      <c r="D10" s="204">
        <f>Apuração!$L$46</f>
        <v>0</v>
      </c>
      <c r="E10" s="204">
        <f>Apuração!$L$47</f>
        <v>0</v>
      </c>
      <c r="F10" s="204">
        <f>Apuração!$L$48</f>
        <v>0</v>
      </c>
      <c r="G10" s="204">
        <f t="shared" si="0"/>
        <v>0</v>
      </c>
      <c r="H10" s="204">
        <f t="shared" si="1"/>
        <v>0</v>
      </c>
    </row>
    <row r="11" spans="2:8" x14ac:dyDescent="0.25">
      <c r="B11" s="203" t="s">
        <v>40</v>
      </c>
      <c r="C11" s="204">
        <f>Apuração!$M$45</f>
        <v>0</v>
      </c>
      <c r="D11" s="204">
        <f>Apuração!$M$46</f>
        <v>0</v>
      </c>
      <c r="E11" s="204">
        <f>Apuração!$M$47</f>
        <v>0</v>
      </c>
      <c r="F11" s="204">
        <f>Apuração!$M$48</f>
        <v>0</v>
      </c>
      <c r="G11" s="204">
        <f t="shared" si="0"/>
        <v>0</v>
      </c>
      <c r="H11" s="204">
        <f t="shared" si="1"/>
        <v>0</v>
      </c>
    </row>
    <row r="12" spans="2:8" x14ac:dyDescent="0.25">
      <c r="B12" s="203" t="s">
        <v>41</v>
      </c>
      <c r="C12" s="204">
        <f>Apuração!$N$45</f>
        <v>0</v>
      </c>
      <c r="D12" s="204">
        <f>Apuração!$N$46</f>
        <v>0</v>
      </c>
      <c r="E12" s="204">
        <f>Apuração!$N$47</f>
        <v>0</v>
      </c>
      <c r="F12" s="204">
        <f>Apuração!$N$48</f>
        <v>0</v>
      </c>
      <c r="G12" s="204">
        <f t="shared" si="0"/>
        <v>0</v>
      </c>
      <c r="H12" s="204">
        <f t="shared" si="1"/>
        <v>0</v>
      </c>
    </row>
    <row r="13" spans="2:8" x14ac:dyDescent="0.25">
      <c r="B13" s="203" t="s">
        <v>42</v>
      </c>
      <c r="C13" s="204">
        <f>Apuração!$O$45</f>
        <v>0</v>
      </c>
      <c r="D13" s="204">
        <f>Apuração!$O$46</f>
        <v>0</v>
      </c>
      <c r="E13" s="204">
        <f>Apuração!$O$47</f>
        <v>0</v>
      </c>
      <c r="F13" s="204">
        <f>Apuração!$O$48</f>
        <v>0</v>
      </c>
      <c r="G13" s="204">
        <f t="shared" si="0"/>
        <v>0</v>
      </c>
      <c r="H13" s="204">
        <f t="shared" si="1"/>
        <v>0</v>
      </c>
    </row>
    <row r="14" spans="2:8" x14ac:dyDescent="0.25">
      <c r="B14" s="203" t="s">
        <v>43</v>
      </c>
      <c r="C14" s="204">
        <f>Apuração!$P$45</f>
        <v>0</v>
      </c>
      <c r="D14" s="204">
        <f>Apuração!$P$46</f>
        <v>0</v>
      </c>
      <c r="E14" s="204">
        <f>Apuração!$P$47</f>
        <v>0</v>
      </c>
      <c r="F14" s="204">
        <f>Apuração!$P$48</f>
        <v>0</v>
      </c>
      <c r="G14" s="204">
        <f t="shared" si="0"/>
        <v>0</v>
      </c>
      <c r="H14" s="204">
        <f t="shared" si="1"/>
        <v>0</v>
      </c>
    </row>
    <row r="15" spans="2:8" x14ac:dyDescent="0.25">
      <c r="B15" s="203" t="s">
        <v>44</v>
      </c>
      <c r="C15" s="204">
        <f>Apuração!$Q$45</f>
        <v>0</v>
      </c>
      <c r="D15" s="204">
        <f>Apuração!$Q$46</f>
        <v>0</v>
      </c>
      <c r="E15" s="204">
        <f>Apuração!$Q$47</f>
        <v>0</v>
      </c>
      <c r="F15" s="204">
        <f>Apuração!$Q$48</f>
        <v>0</v>
      </c>
      <c r="G15" s="204">
        <f t="shared" si="0"/>
        <v>0</v>
      </c>
      <c r="H15" s="204">
        <f t="shared" si="1"/>
        <v>0</v>
      </c>
    </row>
    <row r="16" spans="2:8" x14ac:dyDescent="0.25">
      <c r="B16" s="201" t="s">
        <v>45</v>
      </c>
      <c r="C16" s="205">
        <f>SUM(C4:C15)</f>
        <v>0</v>
      </c>
      <c r="D16" s="205">
        <f t="shared" ref="D16:G16" si="2">SUM(D4:D15)</f>
        <v>0</v>
      </c>
      <c r="E16" s="205">
        <f t="shared" si="2"/>
        <v>0</v>
      </c>
      <c r="F16" s="205">
        <f t="shared" si="2"/>
        <v>0</v>
      </c>
      <c r="G16" s="205">
        <f t="shared" si="2"/>
        <v>0</v>
      </c>
      <c r="H16" s="205">
        <f t="shared" ref="H16" si="3">SUM(H4:H15)</f>
        <v>0</v>
      </c>
    </row>
    <row r="19" spans="2:8" x14ac:dyDescent="0.25">
      <c r="B19" s="198" t="s">
        <v>46</v>
      </c>
      <c r="C19" s="199"/>
      <c r="D19" s="199"/>
      <c r="E19" s="199"/>
      <c r="F19" s="199"/>
      <c r="G19" s="199"/>
      <c r="H19" s="199"/>
    </row>
    <row r="20" spans="2:8" ht="30" x14ac:dyDescent="0.25">
      <c r="B20" s="201" t="s">
        <v>26</v>
      </c>
      <c r="C20" s="202" t="s">
        <v>47</v>
      </c>
      <c r="D20" s="201" t="s">
        <v>28</v>
      </c>
      <c r="E20" s="201" t="s">
        <v>29</v>
      </c>
      <c r="F20" s="201" t="s">
        <v>30</v>
      </c>
      <c r="G20" s="202" t="s">
        <v>31</v>
      </c>
      <c r="H20" s="202" t="s">
        <v>32</v>
      </c>
    </row>
    <row r="21" spans="2:8" x14ac:dyDescent="0.25">
      <c r="B21" s="203" t="s">
        <v>33</v>
      </c>
      <c r="C21" s="204">
        <f>Apuração!$F$51</f>
        <v>0</v>
      </c>
      <c r="D21" s="204">
        <f>Apuração!$F$52</f>
        <v>0</v>
      </c>
      <c r="E21" s="204">
        <f>Apuração!$F$53</f>
        <v>0</v>
      </c>
      <c r="F21" s="204">
        <f>Apuração!$F$54</f>
        <v>0</v>
      </c>
      <c r="G21" s="204">
        <f>TRUNC(SUM(C21,-D21,-E21,-F21)*1%,2)</f>
        <v>0</v>
      </c>
      <c r="H21" s="204">
        <f t="shared" ref="H21:H32" si="4">TRUNC(SUM(C21,-D21,-E21,-F21)*0.5%,2)</f>
        <v>0</v>
      </c>
    </row>
    <row r="22" spans="2:8" x14ac:dyDescent="0.25">
      <c r="B22" s="203" t="s">
        <v>34</v>
      </c>
      <c r="C22" s="204">
        <f>Apuração!$G$51</f>
        <v>0</v>
      </c>
      <c r="D22" s="204">
        <f>Apuração!$G$52</f>
        <v>0</v>
      </c>
      <c r="E22" s="204">
        <f>Apuração!$G$53</f>
        <v>0</v>
      </c>
      <c r="F22" s="204">
        <f>Apuração!$G$54</f>
        <v>0</v>
      </c>
      <c r="G22" s="204">
        <f t="shared" ref="G22:G32" si="5">TRUNC(SUM(C22,-D22,-E22,-F22)*1%,2)</f>
        <v>0</v>
      </c>
      <c r="H22" s="204">
        <f t="shared" si="4"/>
        <v>0</v>
      </c>
    </row>
    <row r="23" spans="2:8" x14ac:dyDescent="0.25">
      <c r="B23" s="203" t="s">
        <v>35</v>
      </c>
      <c r="C23" s="204">
        <f>Apuração!$H$51</f>
        <v>0</v>
      </c>
      <c r="D23" s="204">
        <f>Apuração!$H$52</f>
        <v>0</v>
      </c>
      <c r="E23" s="204">
        <f>Apuração!$H$53</f>
        <v>0</v>
      </c>
      <c r="F23" s="204">
        <f>Apuração!$H$54</f>
        <v>0</v>
      </c>
      <c r="G23" s="204">
        <f t="shared" si="5"/>
        <v>0</v>
      </c>
      <c r="H23" s="204">
        <f t="shared" si="4"/>
        <v>0</v>
      </c>
    </row>
    <row r="24" spans="2:8" x14ac:dyDescent="0.25">
      <c r="B24" s="203" t="s">
        <v>36</v>
      </c>
      <c r="C24" s="204">
        <f>Apuração!$I$51</f>
        <v>0</v>
      </c>
      <c r="D24" s="204">
        <f>Apuração!$I$52</f>
        <v>0</v>
      </c>
      <c r="E24" s="204">
        <f>Apuração!$I$53</f>
        <v>0</v>
      </c>
      <c r="F24" s="204">
        <f>Apuração!$I$54</f>
        <v>0</v>
      </c>
      <c r="G24" s="204">
        <f t="shared" si="5"/>
        <v>0</v>
      </c>
      <c r="H24" s="204">
        <f t="shared" si="4"/>
        <v>0</v>
      </c>
    </row>
    <row r="25" spans="2:8" x14ac:dyDescent="0.25">
      <c r="B25" s="203" t="s">
        <v>37</v>
      </c>
      <c r="C25" s="204">
        <f>Apuração!$J$51</f>
        <v>0</v>
      </c>
      <c r="D25" s="204">
        <f>Apuração!$J$52</f>
        <v>0</v>
      </c>
      <c r="E25" s="204">
        <f>Apuração!$J$53</f>
        <v>0</v>
      </c>
      <c r="F25" s="204">
        <f>Apuração!$J$54</f>
        <v>0</v>
      </c>
      <c r="G25" s="204">
        <f t="shared" si="5"/>
        <v>0</v>
      </c>
      <c r="H25" s="204">
        <f t="shared" si="4"/>
        <v>0</v>
      </c>
    </row>
    <row r="26" spans="2:8" x14ac:dyDescent="0.25">
      <c r="B26" s="203" t="s">
        <v>38</v>
      </c>
      <c r="C26" s="204">
        <f>Apuração!$K$51</f>
        <v>0</v>
      </c>
      <c r="D26" s="204">
        <f>Apuração!$K$52</f>
        <v>0</v>
      </c>
      <c r="E26" s="204">
        <f>Apuração!$K$53</f>
        <v>0</v>
      </c>
      <c r="F26" s="204">
        <f>Apuração!$K$54</f>
        <v>0</v>
      </c>
      <c r="G26" s="204">
        <f t="shared" si="5"/>
        <v>0</v>
      </c>
      <c r="H26" s="204">
        <f t="shared" si="4"/>
        <v>0</v>
      </c>
    </row>
    <row r="27" spans="2:8" x14ac:dyDescent="0.25">
      <c r="B27" s="203" t="s">
        <v>39</v>
      </c>
      <c r="C27" s="204">
        <f>Apuração!$L$51</f>
        <v>0</v>
      </c>
      <c r="D27" s="204">
        <f>Apuração!$L$52</f>
        <v>0</v>
      </c>
      <c r="E27" s="204">
        <f>Apuração!$L$53</f>
        <v>0</v>
      </c>
      <c r="F27" s="204">
        <f>Apuração!$L$54</f>
        <v>0</v>
      </c>
      <c r="G27" s="204">
        <f t="shared" si="5"/>
        <v>0</v>
      </c>
      <c r="H27" s="204">
        <f t="shared" si="4"/>
        <v>0</v>
      </c>
    </row>
    <row r="28" spans="2:8" x14ac:dyDescent="0.25">
      <c r="B28" s="203" t="s">
        <v>40</v>
      </c>
      <c r="C28" s="204">
        <f>Apuração!$M$51</f>
        <v>0</v>
      </c>
      <c r="D28" s="204">
        <f>Apuração!$M$52</f>
        <v>0</v>
      </c>
      <c r="E28" s="204">
        <f>Apuração!$M$53</f>
        <v>0</v>
      </c>
      <c r="F28" s="204">
        <f>Apuração!$M$54</f>
        <v>0</v>
      </c>
      <c r="G28" s="204">
        <f t="shared" si="5"/>
        <v>0</v>
      </c>
      <c r="H28" s="204">
        <f t="shared" si="4"/>
        <v>0</v>
      </c>
    </row>
    <row r="29" spans="2:8" x14ac:dyDescent="0.25">
      <c r="B29" s="203" t="s">
        <v>41</v>
      </c>
      <c r="C29" s="204">
        <f>Apuração!$N$51</f>
        <v>0</v>
      </c>
      <c r="D29" s="204">
        <f>Apuração!$N$52</f>
        <v>0</v>
      </c>
      <c r="E29" s="204">
        <f>Apuração!$N$53</f>
        <v>0</v>
      </c>
      <c r="F29" s="204">
        <f>Apuração!$N$54</f>
        <v>0</v>
      </c>
      <c r="G29" s="204">
        <f t="shared" si="5"/>
        <v>0</v>
      </c>
      <c r="H29" s="204">
        <f t="shared" si="4"/>
        <v>0</v>
      </c>
    </row>
    <row r="30" spans="2:8" x14ac:dyDescent="0.25">
      <c r="B30" s="203" t="s">
        <v>42</v>
      </c>
      <c r="C30" s="204">
        <f>Apuração!$O$51</f>
        <v>0</v>
      </c>
      <c r="D30" s="204">
        <f>Apuração!$O$52</f>
        <v>0</v>
      </c>
      <c r="E30" s="204">
        <f>Apuração!$O$53</f>
        <v>0</v>
      </c>
      <c r="F30" s="204">
        <f>Apuração!$O$54</f>
        <v>0</v>
      </c>
      <c r="G30" s="204">
        <f t="shared" si="5"/>
        <v>0</v>
      </c>
      <c r="H30" s="204">
        <f t="shared" si="4"/>
        <v>0</v>
      </c>
    </row>
    <row r="31" spans="2:8" x14ac:dyDescent="0.25">
      <c r="B31" s="203" t="s">
        <v>43</v>
      </c>
      <c r="C31" s="204">
        <f>Apuração!$P$51</f>
        <v>0</v>
      </c>
      <c r="D31" s="204">
        <f>Apuração!$P$52</f>
        <v>0</v>
      </c>
      <c r="E31" s="204">
        <f>Apuração!$P$53</f>
        <v>0</v>
      </c>
      <c r="F31" s="204">
        <f>Apuração!$P$54</f>
        <v>0</v>
      </c>
      <c r="G31" s="204">
        <f t="shared" si="5"/>
        <v>0</v>
      </c>
      <c r="H31" s="204">
        <f t="shared" si="4"/>
        <v>0</v>
      </c>
    </row>
    <row r="32" spans="2:8" x14ac:dyDescent="0.25">
      <c r="B32" s="203" t="s">
        <v>44</v>
      </c>
      <c r="C32" s="204">
        <f>Apuração!$Q$51</f>
        <v>0</v>
      </c>
      <c r="D32" s="204">
        <f>Apuração!$Q$52</f>
        <v>0</v>
      </c>
      <c r="E32" s="204">
        <f>Apuração!$Q$53</f>
        <v>0</v>
      </c>
      <c r="F32" s="204">
        <f>Apuração!$Q$54</f>
        <v>0</v>
      </c>
      <c r="G32" s="204">
        <f t="shared" si="5"/>
        <v>0</v>
      </c>
      <c r="H32" s="204">
        <f t="shared" si="4"/>
        <v>0</v>
      </c>
    </row>
    <row r="33" spans="2:8" x14ac:dyDescent="0.25">
      <c r="B33" s="201" t="s">
        <v>45</v>
      </c>
      <c r="C33" s="205">
        <f>SUM(C21:C32)</f>
        <v>0</v>
      </c>
      <c r="D33" s="205">
        <f t="shared" ref="D33:G33" si="6">SUM(D21:D32)</f>
        <v>0</v>
      </c>
      <c r="E33" s="205">
        <f t="shared" si="6"/>
        <v>0</v>
      </c>
      <c r="F33" s="205">
        <f t="shared" si="6"/>
        <v>0</v>
      </c>
      <c r="G33" s="205">
        <f t="shared" si="6"/>
        <v>0</v>
      </c>
      <c r="H33" s="205">
        <f t="shared" ref="H33" si="7">SUM(H21:H32)</f>
        <v>0</v>
      </c>
    </row>
    <row r="35" spans="2:8" x14ac:dyDescent="0.25">
      <c r="B35" s="206"/>
    </row>
    <row r="36" spans="2:8" ht="30" x14ac:dyDescent="0.25">
      <c r="B36" s="207" t="s">
        <v>48</v>
      </c>
      <c r="C36" s="199"/>
      <c r="D36" s="199"/>
      <c r="E36" s="199"/>
      <c r="F36" s="199"/>
      <c r="G36" s="199"/>
      <c r="H36" s="199"/>
    </row>
    <row r="37" spans="2:8" ht="30" x14ac:dyDescent="0.25">
      <c r="B37" s="201" t="s">
        <v>26</v>
      </c>
      <c r="C37" s="202" t="s">
        <v>49</v>
      </c>
      <c r="D37" s="201" t="s">
        <v>28</v>
      </c>
      <c r="E37" s="201" t="s">
        <v>29</v>
      </c>
      <c r="F37" s="201" t="s">
        <v>30</v>
      </c>
      <c r="G37" s="202" t="s">
        <v>31</v>
      </c>
      <c r="H37" s="202" t="s">
        <v>32</v>
      </c>
    </row>
    <row r="38" spans="2:8" x14ac:dyDescent="0.25">
      <c r="B38" s="203" t="s">
        <v>33</v>
      </c>
      <c r="C38" s="204">
        <f>C4-C21</f>
        <v>0</v>
      </c>
      <c r="D38" s="204">
        <f t="shared" ref="D38:G38" si="8">D4-D21</f>
        <v>0</v>
      </c>
      <c r="E38" s="204">
        <f t="shared" si="8"/>
        <v>0</v>
      </c>
      <c r="F38" s="204">
        <f t="shared" si="8"/>
        <v>0</v>
      </c>
      <c r="G38" s="204">
        <f t="shared" si="8"/>
        <v>0</v>
      </c>
      <c r="H38" s="204">
        <f t="shared" ref="H38" si="9">H4-H21</f>
        <v>0</v>
      </c>
    </row>
    <row r="39" spans="2:8" x14ac:dyDescent="0.25">
      <c r="B39" s="203" t="s">
        <v>34</v>
      </c>
      <c r="C39" s="204">
        <f t="shared" ref="C39:G49" si="10">C5-C22</f>
        <v>0</v>
      </c>
      <c r="D39" s="204">
        <f t="shared" si="10"/>
        <v>0</v>
      </c>
      <c r="E39" s="204">
        <f t="shared" si="10"/>
        <v>0</v>
      </c>
      <c r="F39" s="204">
        <f t="shared" si="10"/>
        <v>0</v>
      </c>
      <c r="G39" s="204">
        <f t="shared" si="10"/>
        <v>0</v>
      </c>
      <c r="H39" s="204">
        <f t="shared" ref="H39" si="11">H5-H22</f>
        <v>0</v>
      </c>
    </row>
    <row r="40" spans="2:8" x14ac:dyDescent="0.25">
      <c r="B40" s="203" t="s">
        <v>35</v>
      </c>
      <c r="C40" s="204">
        <f t="shared" si="10"/>
        <v>0</v>
      </c>
      <c r="D40" s="204">
        <f t="shared" si="10"/>
        <v>0</v>
      </c>
      <c r="E40" s="204">
        <f t="shared" si="10"/>
        <v>0</v>
      </c>
      <c r="F40" s="204">
        <f t="shared" si="10"/>
        <v>0</v>
      </c>
      <c r="G40" s="204">
        <f t="shared" si="10"/>
        <v>0</v>
      </c>
      <c r="H40" s="204">
        <f t="shared" ref="H40" si="12">H6-H23</f>
        <v>0</v>
      </c>
    </row>
    <row r="41" spans="2:8" x14ac:dyDescent="0.25">
      <c r="B41" s="203" t="s">
        <v>36</v>
      </c>
      <c r="C41" s="204">
        <f t="shared" si="10"/>
        <v>0</v>
      </c>
      <c r="D41" s="204">
        <f t="shared" si="10"/>
        <v>0</v>
      </c>
      <c r="E41" s="204">
        <f t="shared" si="10"/>
        <v>0</v>
      </c>
      <c r="F41" s="204">
        <f t="shared" si="10"/>
        <v>0</v>
      </c>
      <c r="G41" s="204">
        <f t="shared" si="10"/>
        <v>0</v>
      </c>
      <c r="H41" s="204">
        <f t="shared" ref="H41" si="13">H7-H24</f>
        <v>0</v>
      </c>
    </row>
    <row r="42" spans="2:8" x14ac:dyDescent="0.25">
      <c r="B42" s="203" t="s">
        <v>37</v>
      </c>
      <c r="C42" s="204">
        <f t="shared" si="10"/>
        <v>0</v>
      </c>
      <c r="D42" s="204">
        <f t="shared" si="10"/>
        <v>0</v>
      </c>
      <c r="E42" s="204">
        <f t="shared" si="10"/>
        <v>0</v>
      </c>
      <c r="F42" s="204">
        <f t="shared" si="10"/>
        <v>0</v>
      </c>
      <c r="G42" s="204">
        <f t="shared" si="10"/>
        <v>0</v>
      </c>
      <c r="H42" s="204">
        <f t="shared" ref="H42" si="14">H8-H25</f>
        <v>0</v>
      </c>
    </row>
    <row r="43" spans="2:8" x14ac:dyDescent="0.25">
      <c r="B43" s="203" t="s">
        <v>38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ref="H43" si="15">H9-H26</f>
        <v>0</v>
      </c>
    </row>
    <row r="44" spans="2:8" x14ac:dyDescent="0.25">
      <c r="B44" s="203" t="s">
        <v>39</v>
      </c>
      <c r="C44" s="204">
        <f t="shared" si="10"/>
        <v>0</v>
      </c>
      <c r="D44" s="204">
        <f t="shared" si="10"/>
        <v>0</v>
      </c>
      <c r="E44" s="204">
        <f t="shared" si="10"/>
        <v>0</v>
      </c>
      <c r="F44" s="204">
        <f t="shared" si="10"/>
        <v>0</v>
      </c>
      <c r="G44" s="204">
        <f t="shared" si="10"/>
        <v>0</v>
      </c>
      <c r="H44" s="204">
        <f t="shared" ref="H44" si="16">H10-H27</f>
        <v>0</v>
      </c>
    </row>
    <row r="45" spans="2:8" x14ac:dyDescent="0.25">
      <c r="B45" s="203" t="s">
        <v>40</v>
      </c>
      <c r="C45" s="204">
        <f t="shared" si="10"/>
        <v>0</v>
      </c>
      <c r="D45" s="204">
        <f t="shared" si="10"/>
        <v>0</v>
      </c>
      <c r="E45" s="204">
        <f t="shared" si="10"/>
        <v>0</v>
      </c>
      <c r="F45" s="204">
        <f t="shared" si="10"/>
        <v>0</v>
      </c>
      <c r="G45" s="204">
        <f t="shared" si="10"/>
        <v>0</v>
      </c>
      <c r="H45" s="204">
        <f t="shared" ref="H45" si="17">H11-H28</f>
        <v>0</v>
      </c>
    </row>
    <row r="46" spans="2:8" x14ac:dyDescent="0.25">
      <c r="B46" s="203" t="s">
        <v>41</v>
      </c>
      <c r="C46" s="204">
        <f t="shared" si="10"/>
        <v>0</v>
      </c>
      <c r="D46" s="204">
        <f t="shared" si="10"/>
        <v>0</v>
      </c>
      <c r="E46" s="204">
        <f t="shared" si="10"/>
        <v>0</v>
      </c>
      <c r="F46" s="204">
        <f t="shared" si="10"/>
        <v>0</v>
      </c>
      <c r="G46" s="204">
        <f t="shared" si="10"/>
        <v>0</v>
      </c>
      <c r="H46" s="204">
        <f t="shared" ref="H46" si="18">H12-H29</f>
        <v>0</v>
      </c>
    </row>
    <row r="47" spans="2:8" x14ac:dyDescent="0.25">
      <c r="B47" s="203" t="s">
        <v>42</v>
      </c>
      <c r="C47" s="204">
        <f t="shared" si="10"/>
        <v>0</v>
      </c>
      <c r="D47" s="204">
        <f t="shared" si="10"/>
        <v>0</v>
      </c>
      <c r="E47" s="204">
        <f t="shared" si="10"/>
        <v>0</v>
      </c>
      <c r="F47" s="204">
        <f t="shared" si="10"/>
        <v>0</v>
      </c>
      <c r="G47" s="204">
        <f t="shared" si="10"/>
        <v>0</v>
      </c>
      <c r="H47" s="204">
        <f t="shared" ref="H47" si="19">H13-H30</f>
        <v>0</v>
      </c>
    </row>
    <row r="48" spans="2:8" x14ac:dyDescent="0.25">
      <c r="B48" s="203" t="s">
        <v>43</v>
      </c>
      <c r="C48" s="204">
        <f t="shared" si="10"/>
        <v>0</v>
      </c>
      <c r="D48" s="204">
        <f t="shared" si="10"/>
        <v>0</v>
      </c>
      <c r="E48" s="204">
        <f t="shared" si="10"/>
        <v>0</v>
      </c>
      <c r="F48" s="204">
        <f t="shared" si="10"/>
        <v>0</v>
      </c>
      <c r="G48" s="204">
        <f t="shared" si="10"/>
        <v>0</v>
      </c>
      <c r="H48" s="204">
        <f t="shared" ref="H48" si="20">H14-H31</f>
        <v>0</v>
      </c>
    </row>
    <row r="49" spans="2:8" x14ac:dyDescent="0.25">
      <c r="B49" s="203" t="s">
        <v>44</v>
      </c>
      <c r="C49" s="204">
        <f t="shared" si="10"/>
        <v>0</v>
      </c>
      <c r="D49" s="204">
        <f t="shared" si="10"/>
        <v>0</v>
      </c>
      <c r="E49" s="204">
        <f t="shared" si="10"/>
        <v>0</v>
      </c>
      <c r="F49" s="204">
        <f t="shared" si="10"/>
        <v>0</v>
      </c>
      <c r="G49" s="204">
        <f t="shared" si="10"/>
        <v>0</v>
      </c>
      <c r="H49" s="204">
        <f t="shared" ref="H49" si="21">H15-H32</f>
        <v>0</v>
      </c>
    </row>
    <row r="50" spans="2:8" x14ac:dyDescent="0.25">
      <c r="B50" s="201" t="s">
        <v>45</v>
      </c>
      <c r="C50" s="205">
        <f>SUM(C38:C49)</f>
        <v>0</v>
      </c>
      <c r="D50" s="205">
        <f t="shared" ref="D50:G50" si="22">SUM(D38:D49)</f>
        <v>0</v>
      </c>
      <c r="E50" s="205">
        <f t="shared" si="22"/>
        <v>0</v>
      </c>
      <c r="F50" s="205">
        <f t="shared" si="22"/>
        <v>0</v>
      </c>
      <c r="G50" s="205">
        <f t="shared" si="22"/>
        <v>0</v>
      </c>
      <c r="H50" s="205">
        <f t="shared" ref="H50" si="23">SUM(H38:H49)</f>
        <v>0</v>
      </c>
    </row>
  </sheetData>
  <sheetProtection formatColumns="0"/>
  <pageMargins left="0.511811024" right="0.511811024" top="0.78740157499999996" bottom="0.78740157499999996" header="0.31496062000000002" footer="0.31496062000000002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5316-9C06-44F2-98BF-2B88F134189E}">
  <sheetPr>
    <tabColor rgb="FF00B050"/>
    <pageSetUpPr autoPageBreaks="0"/>
  </sheetPr>
  <dimension ref="B1:T57"/>
  <sheetViews>
    <sheetView showGridLines="0" zoomScale="80" zoomScaleNormal="80" workbookViewId="0">
      <pane xSplit="5" ySplit="3" topLeftCell="F4" activePane="bottomRight" state="frozen"/>
      <selection activeCell="B17" sqref="B17"/>
      <selection pane="topRight" activeCell="B17" sqref="B17"/>
      <selection pane="bottomLeft" activeCell="B17" sqref="B17"/>
      <selection pane="bottomRight" activeCell="F4" sqref="F4"/>
    </sheetView>
  </sheetViews>
  <sheetFormatPr defaultColWidth="9.140625" defaultRowHeight="15" x14ac:dyDescent="0.25"/>
  <cols>
    <col min="1" max="1" width="3" style="11" customWidth="1"/>
    <col min="2" max="2" width="16.140625" style="11" customWidth="1"/>
    <col min="3" max="3" width="35.140625" style="11" customWidth="1"/>
    <col min="4" max="4" width="10.140625" style="11" customWidth="1"/>
    <col min="5" max="5" width="9.7109375" style="47" customWidth="1"/>
    <col min="6" max="17" width="17.5703125" style="11" customWidth="1"/>
    <col min="18" max="18" width="20.28515625" style="11" customWidth="1"/>
    <col min="19" max="20" width="7.85546875" style="11" customWidth="1"/>
    <col min="21" max="16384" width="9.140625" style="11"/>
  </cols>
  <sheetData>
    <row r="1" spans="2:20" ht="21" x14ac:dyDescent="0.35">
      <c r="B1" s="97" t="s">
        <v>50</v>
      </c>
      <c r="C1" s="187">
        <v>2022</v>
      </c>
      <c r="F1" s="48">
        <v>1</v>
      </c>
      <c r="G1" s="48">
        <v>2</v>
      </c>
      <c r="H1" s="48">
        <v>3</v>
      </c>
      <c r="I1" s="48">
        <v>4</v>
      </c>
      <c r="J1" s="48">
        <v>5</v>
      </c>
      <c r="K1" s="48">
        <v>6</v>
      </c>
      <c r="L1" s="48">
        <v>7</v>
      </c>
      <c r="M1" s="48">
        <v>8</v>
      </c>
      <c r="N1" s="48">
        <v>9</v>
      </c>
      <c r="O1" s="48">
        <v>10</v>
      </c>
      <c r="P1" s="48">
        <v>11</v>
      </c>
      <c r="Q1" s="48">
        <v>12</v>
      </c>
    </row>
    <row r="2" spans="2:20" x14ac:dyDescent="0.25">
      <c r="B2" s="213" t="str">
        <f>"CÁLCULO DO FUST/FUNTTEL - ANO "&amp;C1</f>
        <v>CÁLCULO DO FUST/FUNTTEL - ANO 2022</v>
      </c>
      <c r="C2" s="214"/>
      <c r="D2" s="10" t="s">
        <v>51</v>
      </c>
      <c r="E2" s="8" t="s">
        <v>52</v>
      </c>
      <c r="F2" s="49" t="s">
        <v>53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215" t="s">
        <v>54</v>
      </c>
    </row>
    <row r="3" spans="2:20" ht="15.75" thickBot="1" x14ac:dyDescent="0.3">
      <c r="B3" s="12" t="s">
        <v>55</v>
      </c>
      <c r="C3" s="13" t="s">
        <v>56</v>
      </c>
      <c r="D3" s="14" t="s">
        <v>57</v>
      </c>
      <c r="E3" s="15" t="str">
        <f>IF(C1&gt;=2022,"UF","Alíquota")</f>
        <v>UF</v>
      </c>
      <c r="F3" s="16">
        <f>DATE(RIGHT($B$2,4),F1,1)</f>
        <v>44562</v>
      </c>
      <c r="G3" s="16">
        <f t="shared" ref="G3:Q3" si="0">DATE(RIGHT($B$2,4),G1,1)</f>
        <v>44593</v>
      </c>
      <c r="H3" s="16">
        <f t="shared" si="0"/>
        <v>44621</v>
      </c>
      <c r="I3" s="16">
        <f t="shared" si="0"/>
        <v>44652</v>
      </c>
      <c r="J3" s="16">
        <f t="shared" si="0"/>
        <v>44682</v>
      </c>
      <c r="K3" s="16">
        <f t="shared" si="0"/>
        <v>44713</v>
      </c>
      <c r="L3" s="16">
        <f t="shared" si="0"/>
        <v>44743</v>
      </c>
      <c r="M3" s="16">
        <f t="shared" si="0"/>
        <v>44774</v>
      </c>
      <c r="N3" s="16">
        <f t="shared" si="0"/>
        <v>44805</v>
      </c>
      <c r="O3" s="16">
        <f t="shared" si="0"/>
        <v>44835</v>
      </c>
      <c r="P3" s="16">
        <f t="shared" si="0"/>
        <v>44866</v>
      </c>
      <c r="Q3" s="16">
        <f t="shared" si="0"/>
        <v>44896</v>
      </c>
      <c r="R3" s="216"/>
    </row>
    <row r="4" spans="2:20" x14ac:dyDescent="0.25">
      <c r="B4" s="17"/>
      <c r="C4" s="17"/>
      <c r="D4" s="17"/>
      <c r="E4" s="18"/>
      <c r="F4" s="17"/>
      <c r="G4" s="17"/>
      <c r="H4" s="17"/>
      <c r="I4" s="2"/>
      <c r="J4" s="17"/>
      <c r="K4" s="17"/>
      <c r="L4" s="17"/>
      <c r="M4" s="17"/>
      <c r="N4" s="17"/>
      <c r="O4" s="17"/>
      <c r="P4" s="17"/>
      <c r="Q4" s="17"/>
      <c r="R4" s="17"/>
    </row>
    <row r="5" spans="2:20" x14ac:dyDescent="0.25">
      <c r="B5" s="19" t="s">
        <v>58</v>
      </c>
      <c r="C5" s="20"/>
      <c r="D5" s="20"/>
      <c r="E5" s="3"/>
      <c r="F5" s="21"/>
      <c r="G5" s="21"/>
      <c r="H5" s="21"/>
      <c r="I5" s="4"/>
      <c r="J5" s="21"/>
      <c r="K5" s="21"/>
      <c r="L5" s="21"/>
      <c r="M5" s="21"/>
      <c r="N5" s="21"/>
      <c r="O5" s="21"/>
      <c r="P5" s="21"/>
      <c r="Q5" s="21"/>
      <c r="R5" s="21"/>
    </row>
    <row r="6" spans="2:20" x14ac:dyDescent="0.25">
      <c r="B6" s="180"/>
      <c r="C6" s="196"/>
      <c r="D6" s="181"/>
      <c r="E6" s="182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37">
        <f>SUM(F6:Q6)</f>
        <v>0</v>
      </c>
      <c r="S6" s="35"/>
      <c r="T6" s="36"/>
    </row>
    <row r="7" spans="2:20" x14ac:dyDescent="0.25">
      <c r="B7" s="180"/>
      <c r="C7" s="196"/>
      <c r="D7" s="181"/>
      <c r="E7" s="182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37">
        <f>SUM(F7:Q7)</f>
        <v>0</v>
      </c>
      <c r="S7" s="35"/>
      <c r="T7" s="36"/>
    </row>
    <row r="8" spans="2:20" x14ac:dyDescent="0.25">
      <c r="B8" s="180"/>
      <c r="C8" s="196"/>
      <c r="D8" s="181"/>
      <c r="E8" s="182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37">
        <f>SUM(F8:Q8)</f>
        <v>0</v>
      </c>
      <c r="S8" s="35"/>
      <c r="T8" s="36"/>
    </row>
    <row r="9" spans="2:20" s="191" customFormat="1" x14ac:dyDescent="0.25">
      <c r="B9" s="180"/>
      <c r="C9" s="180"/>
      <c r="D9" s="181"/>
      <c r="E9" s="182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37">
        <f t="shared" ref="R9" si="1">SUM(F9:Q9)</f>
        <v>0</v>
      </c>
      <c r="S9" s="189"/>
      <c r="T9" s="190"/>
    </row>
    <row r="10" spans="2:20" x14ac:dyDescent="0.25">
      <c r="B10" s="180"/>
      <c r="C10" s="180"/>
      <c r="D10" s="181"/>
      <c r="E10" s="182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25">
        <f t="shared" ref="R10" si="2">SUM(F10:Q10)</f>
        <v>0</v>
      </c>
      <c r="S10" s="35"/>
      <c r="T10" s="36"/>
    </row>
    <row r="11" spans="2:20" ht="18.75" customHeight="1" x14ac:dyDescent="0.25">
      <c r="B11" s="217" t="s">
        <v>59</v>
      </c>
      <c r="C11" s="217"/>
      <c r="D11" s="50"/>
      <c r="E11" s="51"/>
      <c r="F11" s="50">
        <f t="shared" ref="F11:Q11" si="3">SUM(F6:F10)</f>
        <v>0</v>
      </c>
      <c r="G11" s="50">
        <f t="shared" si="3"/>
        <v>0</v>
      </c>
      <c r="H11" s="50">
        <f t="shared" si="3"/>
        <v>0</v>
      </c>
      <c r="I11" s="50">
        <f t="shared" si="3"/>
        <v>0</v>
      </c>
      <c r="J11" s="50">
        <f t="shared" si="3"/>
        <v>0</v>
      </c>
      <c r="K11" s="50">
        <f t="shared" si="3"/>
        <v>0</v>
      </c>
      <c r="L11" s="50">
        <f t="shared" si="3"/>
        <v>0</v>
      </c>
      <c r="M11" s="50">
        <f t="shared" si="3"/>
        <v>0</v>
      </c>
      <c r="N11" s="50">
        <f t="shared" si="3"/>
        <v>0</v>
      </c>
      <c r="O11" s="50">
        <f t="shared" si="3"/>
        <v>0</v>
      </c>
      <c r="P11" s="50">
        <f t="shared" si="3"/>
        <v>0</v>
      </c>
      <c r="Q11" s="50">
        <f t="shared" si="3"/>
        <v>0</v>
      </c>
      <c r="R11" s="50">
        <f>SUM(F11:Q11)</f>
        <v>0</v>
      </c>
    </row>
    <row r="12" spans="2:20" x14ac:dyDescent="0.25">
      <c r="B12" s="30" t="s">
        <v>60</v>
      </c>
      <c r="C12" s="52"/>
      <c r="D12" s="52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32"/>
    </row>
    <row r="13" spans="2:20" x14ac:dyDescent="0.25">
      <c r="B13" s="180"/>
      <c r="C13" s="184"/>
      <c r="D13" s="180"/>
      <c r="E13" s="182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25">
        <f>SUM(F13:Q13)</f>
        <v>0</v>
      </c>
      <c r="S13" s="35"/>
      <c r="T13" s="36"/>
    </row>
    <row r="14" spans="2:20" x14ac:dyDescent="0.25">
      <c r="B14" s="180"/>
      <c r="C14" s="184"/>
      <c r="D14" s="180"/>
      <c r="E14" s="182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25">
        <f>SUM(F14:Q14)</f>
        <v>0</v>
      </c>
    </row>
    <row r="15" spans="2:20" x14ac:dyDescent="0.25">
      <c r="B15" s="180"/>
      <c r="C15" s="184"/>
      <c r="D15" s="180"/>
      <c r="E15" s="182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25">
        <f>SUM(F15:Q15)</f>
        <v>0</v>
      </c>
    </row>
    <row r="16" spans="2:20" x14ac:dyDescent="0.25">
      <c r="B16" s="218" t="s">
        <v>61</v>
      </c>
      <c r="C16" s="218"/>
      <c r="D16" s="28"/>
      <c r="E16" s="55"/>
      <c r="F16" s="28">
        <f t="shared" ref="F16:Q16" si="4">SUM(F13:F15)</f>
        <v>0</v>
      </c>
      <c r="G16" s="28">
        <f t="shared" si="4"/>
        <v>0</v>
      </c>
      <c r="H16" s="28">
        <f t="shared" si="4"/>
        <v>0</v>
      </c>
      <c r="I16" s="28">
        <f t="shared" si="4"/>
        <v>0</v>
      </c>
      <c r="J16" s="28">
        <f t="shared" si="4"/>
        <v>0</v>
      </c>
      <c r="K16" s="28">
        <f t="shared" si="4"/>
        <v>0</v>
      </c>
      <c r="L16" s="28">
        <f t="shared" si="4"/>
        <v>0</v>
      </c>
      <c r="M16" s="28">
        <f t="shared" si="4"/>
        <v>0</v>
      </c>
      <c r="N16" s="28">
        <f t="shared" si="4"/>
        <v>0</v>
      </c>
      <c r="O16" s="28">
        <f t="shared" si="4"/>
        <v>0</v>
      </c>
      <c r="P16" s="28">
        <f t="shared" si="4"/>
        <v>0</v>
      </c>
      <c r="Q16" s="28">
        <f t="shared" si="4"/>
        <v>0</v>
      </c>
      <c r="R16" s="50">
        <f>SUM(F16:Q16)</f>
        <v>0</v>
      </c>
    </row>
    <row r="17" spans="2:19" x14ac:dyDescent="0.25">
      <c r="B17" s="32"/>
      <c r="C17" s="32"/>
      <c r="D17" s="32"/>
      <c r="E17" s="56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2:19" x14ac:dyDescent="0.25">
      <c r="B18" s="32"/>
      <c r="C18" s="33" t="s">
        <v>62</v>
      </c>
      <c r="D18" s="33"/>
      <c r="E18" s="56"/>
      <c r="F18" s="32">
        <f t="shared" ref="F18:Q18" si="5">F11+F16</f>
        <v>0</v>
      </c>
      <c r="G18" s="32">
        <f t="shared" si="5"/>
        <v>0</v>
      </c>
      <c r="H18" s="32">
        <f t="shared" si="5"/>
        <v>0</v>
      </c>
      <c r="I18" s="32">
        <f t="shared" si="5"/>
        <v>0</v>
      </c>
      <c r="J18" s="32">
        <f t="shared" si="5"/>
        <v>0</v>
      </c>
      <c r="K18" s="32">
        <f t="shared" si="5"/>
        <v>0</v>
      </c>
      <c r="L18" s="32">
        <f t="shared" si="5"/>
        <v>0</v>
      </c>
      <c r="M18" s="32">
        <f t="shared" si="5"/>
        <v>0</v>
      </c>
      <c r="N18" s="32">
        <f t="shared" si="5"/>
        <v>0</v>
      </c>
      <c r="O18" s="32">
        <f t="shared" si="5"/>
        <v>0</v>
      </c>
      <c r="P18" s="32">
        <f t="shared" si="5"/>
        <v>0</v>
      </c>
      <c r="Q18" s="32">
        <f t="shared" si="5"/>
        <v>0</v>
      </c>
      <c r="R18" s="54">
        <f>SUM(F18:Q18)</f>
        <v>0</v>
      </c>
    </row>
    <row r="19" spans="2:19" x14ac:dyDescent="0.25">
      <c r="B19" s="43"/>
      <c r="C19" s="43"/>
      <c r="D19" s="43"/>
      <c r="E19" s="57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9"/>
    </row>
    <row r="20" spans="2:19" x14ac:dyDescent="0.25">
      <c r="B20" s="219" t="s">
        <v>63</v>
      </c>
      <c r="C20" s="220"/>
      <c r="D20" s="60"/>
      <c r="E20" s="61" t="s">
        <v>64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3"/>
    </row>
    <row r="21" spans="2:19" x14ac:dyDescent="0.25">
      <c r="B21" s="64" t="s">
        <v>65</v>
      </c>
      <c r="C21" s="65" t="s">
        <v>52</v>
      </c>
      <c r="D21" s="66"/>
      <c r="E21" s="67" t="s">
        <v>66</v>
      </c>
      <c r="F21" s="39">
        <f>ICMS!F26*IF(PRODUCT($R$18,ICMS!$R$26)&gt;0,-1,1)</f>
        <v>0</v>
      </c>
      <c r="G21" s="39">
        <f>ICMS!G26*IF(PRODUCT($R$18,ICMS!$R$26)&gt;0,-1,1)</f>
        <v>0</v>
      </c>
      <c r="H21" s="39">
        <f>ICMS!H26*IF(PRODUCT($R$18,ICMS!$R$26)&gt;0,-1,1)</f>
        <v>0</v>
      </c>
      <c r="I21" s="39">
        <f>ICMS!I26*IF(PRODUCT($R$18,ICMS!$R$26)&gt;0,-1,1)</f>
        <v>0</v>
      </c>
      <c r="J21" s="39">
        <f>ICMS!J26*IF(PRODUCT($R$18,ICMS!$R$26)&gt;0,-1,1)</f>
        <v>0</v>
      </c>
      <c r="K21" s="39">
        <f>ICMS!K26*IF(PRODUCT($R$18,ICMS!$R$26)&gt;0,-1,1)</f>
        <v>0</v>
      </c>
      <c r="L21" s="39">
        <f>ICMS!L26*IF(PRODUCT($R$18,ICMS!$R$26)&gt;0,-1,1)</f>
        <v>0</v>
      </c>
      <c r="M21" s="39">
        <f>ICMS!M26*IF(PRODUCT($R$18,ICMS!$R$26)&gt;0,-1,1)</f>
        <v>0</v>
      </c>
      <c r="N21" s="39">
        <f>ICMS!N26*IF(PRODUCT($R$18,ICMS!$R$26)&gt;0,-1,1)</f>
        <v>0</v>
      </c>
      <c r="O21" s="39">
        <f>ICMS!O26*IF(PRODUCT($R$18,ICMS!$R$26)&gt;0,-1,1)</f>
        <v>0</v>
      </c>
      <c r="P21" s="39">
        <f>ICMS!P26*IF(PRODUCT($R$18,ICMS!$R$26)&gt;0,-1,1)</f>
        <v>0</v>
      </c>
      <c r="Q21" s="39">
        <f>ICMS!Q26*IF(PRODUCT($R$18,ICMS!$R$26)&gt;0,-1,1)</f>
        <v>0</v>
      </c>
      <c r="R21" s="68">
        <f>SUM(F21:Q21)</f>
        <v>0</v>
      </c>
    </row>
    <row r="22" spans="2:19" x14ac:dyDescent="0.25">
      <c r="B22" s="64" t="s">
        <v>65</v>
      </c>
      <c r="C22" s="65" t="s">
        <v>67</v>
      </c>
      <c r="D22" s="66"/>
      <c r="E22" s="69">
        <v>6.4999999999999997E-3</v>
      </c>
      <c r="F22" s="39">
        <f>TRUNC(-(F$18+IF(RIGHT($B$2,4)*1&gt;2017,F$21,0))*$E22,2)</f>
        <v>0</v>
      </c>
      <c r="G22" s="39">
        <f>TRUNC(-(G$18+IF(RIGHT($B$2,4)*1&gt;2017,G$21,0))*$E22,2)</f>
        <v>0</v>
      </c>
      <c r="H22" s="39">
        <f t="shared" ref="H22:Q23" si="6">TRUNC(-(H$18+IF(RIGHT($B$2,4)*1&gt;2016,H$21,0))*$E22,2)</f>
        <v>0</v>
      </c>
      <c r="I22" s="39">
        <f t="shared" si="6"/>
        <v>0</v>
      </c>
      <c r="J22" s="39">
        <f t="shared" si="6"/>
        <v>0</v>
      </c>
      <c r="K22" s="39">
        <f t="shared" si="6"/>
        <v>0</v>
      </c>
      <c r="L22" s="39">
        <f t="shared" si="6"/>
        <v>0</v>
      </c>
      <c r="M22" s="39">
        <f t="shared" si="6"/>
        <v>0</v>
      </c>
      <c r="N22" s="39">
        <f t="shared" si="6"/>
        <v>0</v>
      </c>
      <c r="O22" s="39">
        <f t="shared" si="6"/>
        <v>0</v>
      </c>
      <c r="P22" s="39">
        <f t="shared" si="6"/>
        <v>0</v>
      </c>
      <c r="Q22" s="39">
        <f t="shared" si="6"/>
        <v>0</v>
      </c>
      <c r="R22" s="68">
        <f>SUM(F22:Q22)</f>
        <v>0</v>
      </c>
      <c r="S22" s="71"/>
    </row>
    <row r="23" spans="2:19" x14ac:dyDescent="0.25">
      <c r="B23" s="64" t="s">
        <v>65</v>
      </c>
      <c r="C23" s="65" t="s">
        <v>68</v>
      </c>
      <c r="D23" s="66"/>
      <c r="E23" s="72">
        <v>0.03</v>
      </c>
      <c r="F23" s="39">
        <f>TRUNC(-(F$18+IF(RIGHT($B$2,4)*1&gt;2017,F$21,0))*$E23,2)</f>
        <v>0</v>
      </c>
      <c r="G23" s="39">
        <f>TRUNC(-(G$18+IF(RIGHT($B$2,4)*1&gt;2017,G$21,0))*$E23,2)</f>
        <v>0</v>
      </c>
      <c r="H23" s="39">
        <f t="shared" si="6"/>
        <v>0</v>
      </c>
      <c r="I23" s="39">
        <f t="shared" si="6"/>
        <v>0</v>
      </c>
      <c r="J23" s="39">
        <f t="shared" si="6"/>
        <v>0</v>
      </c>
      <c r="K23" s="39">
        <f t="shared" si="6"/>
        <v>0</v>
      </c>
      <c r="L23" s="39">
        <f t="shared" si="6"/>
        <v>0</v>
      </c>
      <c r="M23" s="39">
        <f t="shared" si="6"/>
        <v>0</v>
      </c>
      <c r="N23" s="39">
        <f t="shared" si="6"/>
        <v>0</v>
      </c>
      <c r="O23" s="39">
        <f t="shared" si="6"/>
        <v>0</v>
      </c>
      <c r="P23" s="39">
        <f t="shared" si="6"/>
        <v>0</v>
      </c>
      <c r="Q23" s="39">
        <f t="shared" si="6"/>
        <v>0</v>
      </c>
      <c r="R23" s="68">
        <f>SUM(F23:Q23)</f>
        <v>0</v>
      </c>
    </row>
    <row r="24" spans="2:19" x14ac:dyDescent="0.25">
      <c r="B24" s="221" t="s">
        <v>69</v>
      </c>
      <c r="C24" s="222"/>
      <c r="D24" s="17"/>
      <c r="E24" s="18"/>
      <c r="F24" s="32">
        <f t="shared" ref="F24" si="7">SUM(F21:F23)</f>
        <v>0</v>
      </c>
      <c r="G24" s="32">
        <f t="shared" ref="G24:Q24" si="8">SUM(G21:G23)</f>
        <v>0</v>
      </c>
      <c r="H24" s="32">
        <f t="shared" si="8"/>
        <v>0</v>
      </c>
      <c r="I24" s="32">
        <f t="shared" si="8"/>
        <v>0</v>
      </c>
      <c r="J24" s="32">
        <f t="shared" si="8"/>
        <v>0</v>
      </c>
      <c r="K24" s="32">
        <f t="shared" si="8"/>
        <v>0</v>
      </c>
      <c r="L24" s="32">
        <f t="shared" si="8"/>
        <v>0</v>
      </c>
      <c r="M24" s="32">
        <f t="shared" si="8"/>
        <v>0</v>
      </c>
      <c r="N24" s="32">
        <f t="shared" si="8"/>
        <v>0</v>
      </c>
      <c r="O24" s="32">
        <f t="shared" si="8"/>
        <v>0</v>
      </c>
      <c r="P24" s="32">
        <f t="shared" si="8"/>
        <v>0</v>
      </c>
      <c r="Q24" s="32">
        <f t="shared" si="8"/>
        <v>0</v>
      </c>
      <c r="R24" s="70">
        <f>SUM(F24:Q24)</f>
        <v>0</v>
      </c>
    </row>
    <row r="25" spans="2:19" x14ac:dyDescent="0.25">
      <c r="B25" s="211" t="s">
        <v>70</v>
      </c>
      <c r="C25" s="212"/>
      <c r="D25" s="73"/>
      <c r="E25" s="197"/>
      <c r="F25" s="74">
        <f t="shared" ref="F25" si="9">F18+F24</f>
        <v>0</v>
      </c>
      <c r="G25" s="74">
        <f t="shared" ref="G25:Q25" si="10">G18+G24</f>
        <v>0</v>
      </c>
      <c r="H25" s="74">
        <f t="shared" si="10"/>
        <v>0</v>
      </c>
      <c r="I25" s="74">
        <f t="shared" si="10"/>
        <v>0</v>
      </c>
      <c r="J25" s="74">
        <f t="shared" si="10"/>
        <v>0</v>
      </c>
      <c r="K25" s="74">
        <f t="shared" si="10"/>
        <v>0</v>
      </c>
      <c r="L25" s="74">
        <f t="shared" si="10"/>
        <v>0</v>
      </c>
      <c r="M25" s="74">
        <f t="shared" si="10"/>
        <v>0</v>
      </c>
      <c r="N25" s="74">
        <f t="shared" si="10"/>
        <v>0</v>
      </c>
      <c r="O25" s="74">
        <f t="shared" si="10"/>
        <v>0</v>
      </c>
      <c r="P25" s="74">
        <f t="shared" si="10"/>
        <v>0</v>
      </c>
      <c r="Q25" s="74">
        <f t="shared" si="10"/>
        <v>0</v>
      </c>
      <c r="R25" s="75">
        <f>SUM(F25:Q25)</f>
        <v>0</v>
      </c>
    </row>
    <row r="28" spans="2:19" x14ac:dyDescent="0.25">
      <c r="C28" s="40" t="s">
        <v>71</v>
      </c>
      <c r="D28" s="40"/>
      <c r="E28" s="7"/>
    </row>
    <row r="29" spans="2:19" x14ac:dyDescent="0.25">
      <c r="C29" s="11" t="s">
        <v>72</v>
      </c>
      <c r="E29" s="76">
        <v>0.01</v>
      </c>
      <c r="F29" s="36">
        <f>-TRUNC(F$25*$E29,2)</f>
        <v>0</v>
      </c>
      <c r="G29" s="36">
        <f t="shared" ref="G29:Q30" si="11">-TRUNC(G$25*$E29,2)</f>
        <v>0</v>
      </c>
      <c r="H29" s="36">
        <f t="shared" si="11"/>
        <v>0</v>
      </c>
      <c r="I29" s="36">
        <f t="shared" si="11"/>
        <v>0</v>
      </c>
      <c r="J29" s="36">
        <f t="shared" si="11"/>
        <v>0</v>
      </c>
      <c r="K29" s="36">
        <f t="shared" si="11"/>
        <v>0</v>
      </c>
      <c r="L29" s="36">
        <f t="shared" si="11"/>
        <v>0</v>
      </c>
      <c r="M29" s="36">
        <f t="shared" si="11"/>
        <v>0</v>
      </c>
      <c r="N29" s="36">
        <f t="shared" si="11"/>
        <v>0</v>
      </c>
      <c r="O29" s="36">
        <f t="shared" si="11"/>
        <v>0</v>
      </c>
      <c r="P29" s="36">
        <f t="shared" si="11"/>
        <v>0</v>
      </c>
      <c r="Q29" s="36">
        <f t="shared" si="11"/>
        <v>0</v>
      </c>
      <c r="R29" s="77">
        <f>SUM(F29:Q29)</f>
        <v>0</v>
      </c>
    </row>
    <row r="30" spans="2:19" x14ac:dyDescent="0.25">
      <c r="C30" s="11" t="s">
        <v>73</v>
      </c>
      <c r="E30" s="76">
        <v>5.0000000000000001E-3</v>
      </c>
      <c r="F30" s="36">
        <f>-TRUNC(F$25*$E30,2)</f>
        <v>0</v>
      </c>
      <c r="G30" s="36">
        <f t="shared" si="11"/>
        <v>0</v>
      </c>
      <c r="H30" s="36">
        <f t="shared" si="11"/>
        <v>0</v>
      </c>
      <c r="I30" s="36">
        <f t="shared" si="11"/>
        <v>0</v>
      </c>
      <c r="J30" s="36">
        <f t="shared" si="11"/>
        <v>0</v>
      </c>
      <c r="K30" s="36">
        <f t="shared" si="11"/>
        <v>0</v>
      </c>
      <c r="L30" s="36">
        <f t="shared" si="11"/>
        <v>0</v>
      </c>
      <c r="M30" s="36">
        <f t="shared" si="11"/>
        <v>0</v>
      </c>
      <c r="N30" s="36">
        <f t="shared" si="11"/>
        <v>0</v>
      </c>
      <c r="O30" s="36">
        <f t="shared" si="11"/>
        <v>0</v>
      </c>
      <c r="P30" s="36">
        <f t="shared" si="11"/>
        <v>0</v>
      </c>
      <c r="Q30" s="36">
        <f t="shared" si="11"/>
        <v>0</v>
      </c>
      <c r="R30" s="77">
        <f>SUM(F30:Q30)</f>
        <v>0</v>
      </c>
    </row>
    <row r="31" spans="2:19" x14ac:dyDescent="0.25">
      <c r="E31" s="78"/>
    </row>
    <row r="32" spans="2:19" x14ac:dyDescent="0.25">
      <c r="E32" s="78"/>
    </row>
    <row r="33" spans="3:18" x14ac:dyDescent="0.25">
      <c r="C33" s="40" t="s">
        <v>74</v>
      </c>
      <c r="D33" s="40"/>
      <c r="E33" s="78"/>
    </row>
    <row r="34" spans="3:18" x14ac:dyDescent="0.25">
      <c r="C34" s="11" t="s">
        <v>75</v>
      </c>
      <c r="E34" s="79"/>
      <c r="F34" s="36">
        <f t="shared" ref="F34:Q34" si="12">SUMIFS(F$6:F$15,$D$6:$D$15,"ITX")+SUMIFS(F$6:F$15,$D$6:$D$15,"EILD")</f>
        <v>0</v>
      </c>
      <c r="G34" s="36">
        <f t="shared" si="12"/>
        <v>0</v>
      </c>
      <c r="H34" s="36">
        <f t="shared" si="12"/>
        <v>0</v>
      </c>
      <c r="I34" s="36">
        <f t="shared" si="12"/>
        <v>0</v>
      </c>
      <c r="J34" s="36">
        <f t="shared" si="12"/>
        <v>0</v>
      </c>
      <c r="K34" s="36">
        <f t="shared" si="12"/>
        <v>0</v>
      </c>
      <c r="L34" s="36">
        <f t="shared" si="12"/>
        <v>0</v>
      </c>
      <c r="M34" s="36">
        <f t="shared" si="12"/>
        <v>0</v>
      </c>
      <c r="N34" s="36">
        <f t="shared" si="12"/>
        <v>0</v>
      </c>
      <c r="O34" s="36">
        <f t="shared" si="12"/>
        <v>0</v>
      </c>
      <c r="P34" s="36">
        <f t="shared" si="12"/>
        <v>0</v>
      </c>
      <c r="Q34" s="36">
        <f t="shared" si="12"/>
        <v>0</v>
      </c>
      <c r="R34" s="39">
        <f t="shared" ref="R34:R40" si="13">SUM(F34:Q34)</f>
        <v>0</v>
      </c>
    </row>
    <row r="35" spans="3:18" x14ac:dyDescent="0.25">
      <c r="C35" s="80" t="s">
        <v>52</v>
      </c>
      <c r="D35" s="80"/>
      <c r="E35" s="81"/>
      <c r="F35" s="36">
        <f>ICMS!F29</f>
        <v>0</v>
      </c>
      <c r="G35" s="36">
        <f>ICMS!G29</f>
        <v>0</v>
      </c>
      <c r="H35" s="36">
        <f>ICMS!H29</f>
        <v>0</v>
      </c>
      <c r="I35" s="36">
        <f>ICMS!I29</f>
        <v>0</v>
      </c>
      <c r="J35" s="36">
        <f>ICMS!J29</f>
        <v>0</v>
      </c>
      <c r="K35" s="36">
        <f>ICMS!K29</f>
        <v>0</v>
      </c>
      <c r="L35" s="36">
        <f>ICMS!L29</f>
        <v>0</v>
      </c>
      <c r="M35" s="36">
        <f>ICMS!M29</f>
        <v>0</v>
      </c>
      <c r="N35" s="36">
        <f>ICMS!N29</f>
        <v>0</v>
      </c>
      <c r="O35" s="36">
        <f>ICMS!O29</f>
        <v>0</v>
      </c>
      <c r="P35" s="36">
        <f>ICMS!P29</f>
        <v>0</v>
      </c>
      <c r="Q35" s="36">
        <f>ICMS!Q29</f>
        <v>0</v>
      </c>
      <c r="R35" s="39">
        <f t="shared" si="13"/>
        <v>0</v>
      </c>
    </row>
    <row r="36" spans="3:18" x14ac:dyDescent="0.25">
      <c r="C36" s="11" t="s">
        <v>67</v>
      </c>
      <c r="E36" s="79"/>
      <c r="F36" s="36">
        <f t="shared" ref="F36:Q36" si="14">-TRUNC(F$34*$E22,2)</f>
        <v>0</v>
      </c>
      <c r="G36" s="36">
        <f t="shared" si="14"/>
        <v>0</v>
      </c>
      <c r="H36" s="36">
        <f t="shared" si="14"/>
        <v>0</v>
      </c>
      <c r="I36" s="36">
        <f t="shared" si="14"/>
        <v>0</v>
      </c>
      <c r="J36" s="36">
        <f t="shared" si="14"/>
        <v>0</v>
      </c>
      <c r="K36" s="36">
        <f t="shared" si="14"/>
        <v>0</v>
      </c>
      <c r="L36" s="36">
        <f t="shared" si="14"/>
        <v>0</v>
      </c>
      <c r="M36" s="36">
        <f t="shared" si="14"/>
        <v>0</v>
      </c>
      <c r="N36" s="36">
        <f t="shared" si="14"/>
        <v>0</v>
      </c>
      <c r="O36" s="36">
        <f t="shared" si="14"/>
        <v>0</v>
      </c>
      <c r="P36" s="36">
        <f t="shared" si="14"/>
        <v>0</v>
      </c>
      <c r="Q36" s="36">
        <f t="shared" si="14"/>
        <v>0</v>
      </c>
      <c r="R36" s="39">
        <f t="shared" si="13"/>
        <v>0</v>
      </c>
    </row>
    <row r="37" spans="3:18" x14ac:dyDescent="0.25">
      <c r="C37" s="11" t="s">
        <v>76</v>
      </c>
      <c r="E37" s="79"/>
      <c r="F37" s="36">
        <f t="shared" ref="F37:Q37" si="15">-TRUNC(F$34*$E23,2)</f>
        <v>0</v>
      </c>
      <c r="G37" s="36">
        <f t="shared" si="15"/>
        <v>0</v>
      </c>
      <c r="H37" s="36">
        <f t="shared" si="15"/>
        <v>0</v>
      </c>
      <c r="I37" s="36">
        <f t="shared" si="15"/>
        <v>0</v>
      </c>
      <c r="J37" s="36">
        <f t="shared" si="15"/>
        <v>0</v>
      </c>
      <c r="K37" s="36">
        <f t="shared" si="15"/>
        <v>0</v>
      </c>
      <c r="L37" s="36">
        <f t="shared" si="15"/>
        <v>0</v>
      </c>
      <c r="M37" s="36">
        <f t="shared" si="15"/>
        <v>0</v>
      </c>
      <c r="N37" s="36">
        <f t="shared" si="15"/>
        <v>0</v>
      </c>
      <c r="O37" s="36">
        <f t="shared" si="15"/>
        <v>0</v>
      </c>
      <c r="P37" s="36">
        <f t="shared" si="15"/>
        <v>0</v>
      </c>
      <c r="Q37" s="36">
        <f t="shared" si="15"/>
        <v>0</v>
      </c>
      <c r="R37" s="39">
        <f t="shared" si="13"/>
        <v>0</v>
      </c>
    </row>
    <row r="38" spans="3:18" x14ac:dyDescent="0.25">
      <c r="C38" s="82" t="s">
        <v>77</v>
      </c>
      <c r="D38" s="82"/>
      <c r="E38" s="81"/>
      <c r="F38" s="83">
        <f>SUM(F34:F37)</f>
        <v>0</v>
      </c>
      <c r="G38" s="83">
        <f t="shared" ref="G38:Q38" si="16">SUM(G34:G37)</f>
        <v>0</v>
      </c>
      <c r="H38" s="83">
        <f t="shared" si="16"/>
        <v>0</v>
      </c>
      <c r="I38" s="83">
        <f t="shared" si="16"/>
        <v>0</v>
      </c>
      <c r="J38" s="83">
        <f t="shared" si="16"/>
        <v>0</v>
      </c>
      <c r="K38" s="83">
        <f t="shared" si="16"/>
        <v>0</v>
      </c>
      <c r="L38" s="83">
        <f t="shared" si="16"/>
        <v>0</v>
      </c>
      <c r="M38" s="83">
        <f t="shared" si="16"/>
        <v>0</v>
      </c>
      <c r="N38" s="83">
        <f t="shared" si="16"/>
        <v>0</v>
      </c>
      <c r="O38" s="83">
        <f t="shared" si="16"/>
        <v>0</v>
      </c>
      <c r="P38" s="83">
        <f t="shared" si="16"/>
        <v>0</v>
      </c>
      <c r="Q38" s="83">
        <f t="shared" si="16"/>
        <v>0</v>
      </c>
      <c r="R38" s="83">
        <f>SUM(F38:Q38)</f>
        <v>0</v>
      </c>
    </row>
    <row r="39" spans="3:18" x14ac:dyDescent="0.25">
      <c r="C39" s="11" t="s">
        <v>78</v>
      </c>
      <c r="E39" s="84">
        <v>0.01</v>
      </c>
      <c r="F39" s="36">
        <f>-TRUNC(F$38*$E39,2)</f>
        <v>0</v>
      </c>
      <c r="G39" s="36">
        <f t="shared" ref="G39:Q40" si="17">-TRUNC(G$38*$E39,2)</f>
        <v>0</v>
      </c>
      <c r="H39" s="36">
        <f t="shared" si="17"/>
        <v>0</v>
      </c>
      <c r="I39" s="36">
        <f t="shared" si="17"/>
        <v>0</v>
      </c>
      <c r="J39" s="36">
        <f t="shared" si="17"/>
        <v>0</v>
      </c>
      <c r="K39" s="36">
        <f t="shared" si="17"/>
        <v>0</v>
      </c>
      <c r="L39" s="36">
        <f t="shared" si="17"/>
        <v>0</v>
      </c>
      <c r="M39" s="36">
        <f t="shared" si="17"/>
        <v>0</v>
      </c>
      <c r="N39" s="36">
        <f t="shared" si="17"/>
        <v>0</v>
      </c>
      <c r="O39" s="36">
        <f t="shared" si="17"/>
        <v>0</v>
      </c>
      <c r="P39" s="36">
        <f t="shared" si="17"/>
        <v>0</v>
      </c>
      <c r="Q39" s="36">
        <f t="shared" si="17"/>
        <v>0</v>
      </c>
      <c r="R39" s="39">
        <f t="shared" si="13"/>
        <v>0</v>
      </c>
    </row>
    <row r="40" spans="3:18" x14ac:dyDescent="0.25">
      <c r="C40" s="11" t="s">
        <v>79</v>
      </c>
      <c r="E40" s="84">
        <v>5.0000000000000001E-3</v>
      </c>
      <c r="F40" s="36">
        <f>-TRUNC(F$38*$E40,2)</f>
        <v>0</v>
      </c>
      <c r="G40" s="36">
        <f t="shared" si="17"/>
        <v>0</v>
      </c>
      <c r="H40" s="36">
        <f t="shared" si="17"/>
        <v>0</v>
      </c>
      <c r="I40" s="36">
        <f t="shared" si="17"/>
        <v>0</v>
      </c>
      <c r="J40" s="36">
        <f t="shared" si="17"/>
        <v>0</v>
      </c>
      <c r="K40" s="36">
        <f t="shared" si="17"/>
        <v>0</v>
      </c>
      <c r="L40" s="36">
        <f t="shared" si="17"/>
        <v>0</v>
      </c>
      <c r="M40" s="36">
        <f t="shared" si="17"/>
        <v>0</v>
      </c>
      <c r="N40" s="36">
        <f t="shared" si="17"/>
        <v>0</v>
      </c>
      <c r="O40" s="36">
        <f t="shared" si="17"/>
        <v>0</v>
      </c>
      <c r="P40" s="36">
        <f t="shared" si="17"/>
        <v>0</v>
      </c>
      <c r="Q40" s="36">
        <f t="shared" si="17"/>
        <v>0</v>
      </c>
      <c r="R40" s="39">
        <f t="shared" si="13"/>
        <v>0</v>
      </c>
    </row>
    <row r="41" spans="3:18" x14ac:dyDescent="0.25">
      <c r="E41" s="78"/>
    </row>
    <row r="42" spans="3:18" x14ac:dyDescent="0.25">
      <c r="E42" s="78"/>
    </row>
    <row r="43" spans="3:18" x14ac:dyDescent="0.25">
      <c r="C43" s="85" t="s">
        <v>80</v>
      </c>
      <c r="D43" s="85"/>
      <c r="E43" s="78"/>
    </row>
    <row r="44" spans="3:18" x14ac:dyDescent="0.25">
      <c r="C44" s="86" t="s">
        <v>69</v>
      </c>
      <c r="D44" s="87"/>
      <c r="E44" s="88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90"/>
    </row>
    <row r="45" spans="3:18" x14ac:dyDescent="0.25">
      <c r="C45" s="90" t="s">
        <v>81</v>
      </c>
      <c r="E45" s="79"/>
      <c r="F45" s="36">
        <f t="shared" ref="F45:Q45" si="18">F18</f>
        <v>0</v>
      </c>
      <c r="G45" s="36">
        <f t="shared" si="18"/>
        <v>0</v>
      </c>
      <c r="H45" s="36">
        <f t="shared" si="18"/>
        <v>0</v>
      </c>
      <c r="I45" s="36">
        <f t="shared" si="18"/>
        <v>0</v>
      </c>
      <c r="J45" s="36">
        <f t="shared" si="18"/>
        <v>0</v>
      </c>
      <c r="K45" s="36">
        <f t="shared" si="18"/>
        <v>0</v>
      </c>
      <c r="L45" s="36">
        <f t="shared" si="18"/>
        <v>0</v>
      </c>
      <c r="M45" s="36">
        <f t="shared" si="18"/>
        <v>0</v>
      </c>
      <c r="N45" s="36">
        <f t="shared" si="18"/>
        <v>0</v>
      </c>
      <c r="O45" s="36">
        <f t="shared" si="18"/>
        <v>0</v>
      </c>
      <c r="P45" s="36">
        <f t="shared" si="18"/>
        <v>0</v>
      </c>
      <c r="Q45" s="36">
        <f t="shared" si="18"/>
        <v>0</v>
      </c>
      <c r="R45" s="208"/>
    </row>
    <row r="46" spans="3:18" x14ac:dyDescent="0.25">
      <c r="C46" s="90" t="s">
        <v>82</v>
      </c>
      <c r="E46" s="79"/>
      <c r="F46" s="91">
        <f t="shared" ref="F46:Q46" si="19">-F21</f>
        <v>0</v>
      </c>
      <c r="G46" s="91">
        <f t="shared" si="19"/>
        <v>0</v>
      </c>
      <c r="H46" s="91">
        <f t="shared" si="19"/>
        <v>0</v>
      </c>
      <c r="I46" s="91">
        <f t="shared" si="19"/>
        <v>0</v>
      </c>
      <c r="J46" s="91">
        <f t="shared" si="19"/>
        <v>0</v>
      </c>
      <c r="K46" s="91">
        <f t="shared" si="19"/>
        <v>0</v>
      </c>
      <c r="L46" s="91">
        <f t="shared" si="19"/>
        <v>0</v>
      </c>
      <c r="M46" s="91">
        <f t="shared" si="19"/>
        <v>0</v>
      </c>
      <c r="N46" s="91">
        <f t="shared" si="19"/>
        <v>0</v>
      </c>
      <c r="O46" s="91">
        <f t="shared" si="19"/>
        <v>0</v>
      </c>
      <c r="P46" s="91">
        <f t="shared" si="19"/>
        <v>0</v>
      </c>
      <c r="Q46" s="91">
        <f t="shared" si="19"/>
        <v>0</v>
      </c>
      <c r="R46" s="208"/>
    </row>
    <row r="47" spans="3:18" x14ac:dyDescent="0.25">
      <c r="C47" s="90" t="s">
        <v>83</v>
      </c>
      <c r="E47" s="79"/>
      <c r="F47" s="91">
        <f t="shared" ref="F47:Q47" si="20">-F22</f>
        <v>0</v>
      </c>
      <c r="G47" s="91">
        <f t="shared" si="20"/>
        <v>0</v>
      </c>
      <c r="H47" s="91">
        <f t="shared" si="20"/>
        <v>0</v>
      </c>
      <c r="I47" s="91">
        <f t="shared" si="20"/>
        <v>0</v>
      </c>
      <c r="J47" s="91">
        <f t="shared" si="20"/>
        <v>0</v>
      </c>
      <c r="K47" s="91">
        <f t="shared" si="20"/>
        <v>0</v>
      </c>
      <c r="L47" s="91">
        <f t="shared" si="20"/>
        <v>0</v>
      </c>
      <c r="M47" s="91">
        <f t="shared" si="20"/>
        <v>0</v>
      </c>
      <c r="N47" s="91">
        <f t="shared" si="20"/>
        <v>0</v>
      </c>
      <c r="O47" s="91">
        <f t="shared" si="20"/>
        <v>0</v>
      </c>
      <c r="P47" s="91">
        <f t="shared" si="20"/>
        <v>0</v>
      </c>
      <c r="Q47" s="91">
        <f t="shared" si="20"/>
        <v>0</v>
      </c>
      <c r="R47" s="208"/>
    </row>
    <row r="48" spans="3:18" x14ac:dyDescent="0.25">
      <c r="C48" s="90" t="s">
        <v>84</v>
      </c>
      <c r="E48" s="79"/>
      <c r="F48" s="91">
        <f t="shared" ref="F48:Q48" si="21">-F23</f>
        <v>0</v>
      </c>
      <c r="G48" s="91">
        <f t="shared" si="21"/>
        <v>0</v>
      </c>
      <c r="H48" s="91">
        <f t="shared" si="21"/>
        <v>0</v>
      </c>
      <c r="I48" s="91">
        <f t="shared" si="21"/>
        <v>0</v>
      </c>
      <c r="J48" s="91">
        <f t="shared" si="21"/>
        <v>0</v>
      </c>
      <c r="K48" s="91">
        <f t="shared" si="21"/>
        <v>0</v>
      </c>
      <c r="L48" s="91">
        <f t="shared" si="21"/>
        <v>0</v>
      </c>
      <c r="M48" s="91">
        <f t="shared" si="21"/>
        <v>0</v>
      </c>
      <c r="N48" s="91">
        <f t="shared" si="21"/>
        <v>0</v>
      </c>
      <c r="O48" s="91">
        <f t="shared" si="21"/>
        <v>0</v>
      </c>
      <c r="P48" s="91">
        <f t="shared" si="21"/>
        <v>0</v>
      </c>
      <c r="Q48" s="91">
        <f t="shared" si="21"/>
        <v>0</v>
      </c>
      <c r="R48" s="208"/>
    </row>
    <row r="49" spans="3:18" x14ac:dyDescent="0.25">
      <c r="C49" s="90"/>
      <c r="E49" s="79"/>
      <c r="R49" s="209"/>
    </row>
    <row r="50" spans="3:18" x14ac:dyDescent="0.25">
      <c r="C50" s="92" t="s">
        <v>85</v>
      </c>
      <c r="D50" s="40"/>
      <c r="E50" s="81"/>
      <c r="R50" s="209"/>
    </row>
    <row r="51" spans="3:18" x14ac:dyDescent="0.25">
      <c r="C51" s="90" t="s">
        <v>81</v>
      </c>
      <c r="E51" s="81"/>
      <c r="F51" s="36">
        <f t="shared" ref="F51:Q51" si="22">F34</f>
        <v>0</v>
      </c>
      <c r="G51" s="36">
        <f t="shared" si="22"/>
        <v>0</v>
      </c>
      <c r="H51" s="36">
        <f t="shared" si="22"/>
        <v>0</v>
      </c>
      <c r="I51" s="36">
        <f t="shared" si="22"/>
        <v>0</v>
      </c>
      <c r="J51" s="36">
        <f t="shared" si="22"/>
        <v>0</v>
      </c>
      <c r="K51" s="36">
        <f t="shared" si="22"/>
        <v>0</v>
      </c>
      <c r="L51" s="36">
        <f t="shared" si="22"/>
        <v>0</v>
      </c>
      <c r="M51" s="36">
        <f t="shared" si="22"/>
        <v>0</v>
      </c>
      <c r="N51" s="36">
        <f t="shared" si="22"/>
        <v>0</v>
      </c>
      <c r="O51" s="36">
        <f t="shared" si="22"/>
        <v>0</v>
      </c>
      <c r="P51" s="36">
        <f t="shared" si="22"/>
        <v>0</v>
      </c>
      <c r="Q51" s="36">
        <f t="shared" si="22"/>
        <v>0</v>
      </c>
      <c r="R51" s="208"/>
    </row>
    <row r="52" spans="3:18" x14ac:dyDescent="0.25">
      <c r="C52" s="90" t="s">
        <v>82</v>
      </c>
      <c r="E52" s="81"/>
      <c r="F52" s="36">
        <f>-F35</f>
        <v>0</v>
      </c>
      <c r="G52" s="36">
        <f t="shared" ref="G52:Q52" si="23">-G35</f>
        <v>0</v>
      </c>
      <c r="H52" s="36">
        <f t="shared" si="23"/>
        <v>0</v>
      </c>
      <c r="I52" s="36">
        <f t="shared" si="23"/>
        <v>0</v>
      </c>
      <c r="J52" s="36">
        <f t="shared" si="23"/>
        <v>0</v>
      </c>
      <c r="K52" s="36">
        <f t="shared" si="23"/>
        <v>0</v>
      </c>
      <c r="L52" s="36">
        <f t="shared" si="23"/>
        <v>0</v>
      </c>
      <c r="M52" s="36">
        <f t="shared" si="23"/>
        <v>0</v>
      </c>
      <c r="N52" s="36">
        <f t="shared" si="23"/>
        <v>0</v>
      </c>
      <c r="O52" s="36">
        <f t="shared" si="23"/>
        <v>0</v>
      </c>
      <c r="P52" s="36">
        <f t="shared" si="23"/>
        <v>0</v>
      </c>
      <c r="Q52" s="36">
        <f t="shared" si="23"/>
        <v>0</v>
      </c>
      <c r="R52" s="208"/>
    </row>
    <row r="53" spans="3:18" x14ac:dyDescent="0.25">
      <c r="C53" s="90" t="s">
        <v>83</v>
      </c>
      <c r="E53" s="81"/>
      <c r="F53" s="36">
        <f>-F36</f>
        <v>0</v>
      </c>
      <c r="G53" s="36">
        <f t="shared" ref="G53:Q53" si="24">-G36</f>
        <v>0</v>
      </c>
      <c r="H53" s="36">
        <f t="shared" si="24"/>
        <v>0</v>
      </c>
      <c r="I53" s="36">
        <f t="shared" si="24"/>
        <v>0</v>
      </c>
      <c r="J53" s="36">
        <f t="shared" si="24"/>
        <v>0</v>
      </c>
      <c r="K53" s="36">
        <f t="shared" si="24"/>
        <v>0</v>
      </c>
      <c r="L53" s="36">
        <f t="shared" si="24"/>
        <v>0</v>
      </c>
      <c r="M53" s="36">
        <f t="shared" si="24"/>
        <v>0</v>
      </c>
      <c r="N53" s="36">
        <f t="shared" si="24"/>
        <v>0</v>
      </c>
      <c r="O53" s="36">
        <f t="shared" si="24"/>
        <v>0</v>
      </c>
      <c r="P53" s="36">
        <f t="shared" si="24"/>
        <v>0</v>
      </c>
      <c r="Q53" s="36">
        <f t="shared" si="24"/>
        <v>0</v>
      </c>
      <c r="R53" s="208"/>
    </row>
    <row r="54" spans="3:18" x14ac:dyDescent="0.25">
      <c r="C54" s="93" t="s">
        <v>84</v>
      </c>
      <c r="D54" s="20"/>
      <c r="E54" s="94"/>
      <c r="F54" s="95">
        <f>-F37</f>
        <v>0</v>
      </c>
      <c r="G54" s="95">
        <f t="shared" ref="G54:Q54" si="25">-G37</f>
        <v>0</v>
      </c>
      <c r="H54" s="95">
        <f t="shared" si="25"/>
        <v>0</v>
      </c>
      <c r="I54" s="95">
        <f t="shared" si="25"/>
        <v>0</v>
      </c>
      <c r="J54" s="95">
        <f t="shared" si="25"/>
        <v>0</v>
      </c>
      <c r="K54" s="95">
        <f t="shared" si="25"/>
        <v>0</v>
      </c>
      <c r="L54" s="95">
        <f t="shared" si="25"/>
        <v>0</v>
      </c>
      <c r="M54" s="95">
        <f t="shared" si="25"/>
        <v>0</v>
      </c>
      <c r="N54" s="95">
        <f t="shared" si="25"/>
        <v>0</v>
      </c>
      <c r="O54" s="95">
        <f t="shared" si="25"/>
        <v>0</v>
      </c>
      <c r="P54" s="95">
        <f t="shared" si="25"/>
        <v>0</v>
      </c>
      <c r="Q54" s="95">
        <f t="shared" si="25"/>
        <v>0</v>
      </c>
      <c r="R54" s="208"/>
    </row>
    <row r="55" spans="3:18" x14ac:dyDescent="0.25">
      <c r="G55" s="35"/>
      <c r="H55" s="35"/>
      <c r="R55" s="77"/>
    </row>
    <row r="56" spans="3:18" x14ac:dyDescent="0.25">
      <c r="D56" s="96" t="s">
        <v>86</v>
      </c>
      <c r="H56" s="36"/>
    </row>
    <row r="57" spans="3:18" x14ac:dyDescent="0.25">
      <c r="D57" s="96" t="s">
        <v>87</v>
      </c>
    </row>
  </sheetData>
  <sheetProtection formatColumns="0" insertRows="0" deleteColumns="0" deleteRows="0" sort="0"/>
  <mergeCells count="7">
    <mergeCell ref="B25:C25"/>
    <mergeCell ref="B2:C2"/>
    <mergeCell ref="R2:R3"/>
    <mergeCell ref="B11:C11"/>
    <mergeCell ref="B16:C16"/>
    <mergeCell ref="B20:C20"/>
    <mergeCell ref="B24:C24"/>
  </mergeCells>
  <dataValidations count="3">
    <dataValidation type="list" allowBlank="1" showInputMessage="1" showErrorMessage="1" sqref="D13:D15 D6:D10" xr:uid="{CD03BC04-B682-42F7-903F-10620881275E}">
      <formula1>$D$56:$D$57</formula1>
    </dataValidation>
    <dataValidation type="whole" allowBlank="1" showInputMessage="1" showErrorMessage="1" sqref="C1" xr:uid="{7D41E778-CCB3-47C6-9404-7A1E4FA29874}">
      <formula1>2001</formula1>
      <formula2>2024</formula2>
    </dataValidation>
    <dataValidation type="list" allowBlank="1" showInputMessage="1" showErrorMessage="1" sqref="E13:E15 E6:E10" xr:uid="{09CB03FD-919A-4FE0-910A-849CCE53068C}">
      <formula1>INDIRECT($E$3)</formula1>
    </dataValidation>
  </dataValidations>
  <pageMargins left="0.23" right="0.19685039370078741" top="1.02" bottom="0.5" header="0.31496062992125984" footer="0.3"/>
  <pageSetup paperSize="9" scale="58" orientation="landscape" horizontalDpi="300" r:id="rId1"/>
  <headerFooter alignWithMargins="0">
    <oddFooter>&amp;L&amp;F&amp;C&amp;A&amp;R&amp;P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26B8-3D40-498C-9641-DCC5134AC547}">
  <sheetPr>
    <tabColor rgb="FF00B050"/>
    <pageSetUpPr autoPageBreaks="0"/>
  </sheetPr>
  <dimension ref="B1:AE37"/>
  <sheetViews>
    <sheetView showGridLines="0" zoomScale="80" zoomScaleNormal="80" workbookViewId="0">
      <pane xSplit="5" ySplit="3" topLeftCell="F4" activePane="bottomRight" state="frozen"/>
      <selection pane="topRight"/>
      <selection pane="bottomLeft"/>
      <selection pane="bottomRight" activeCell="F4" sqref="F4"/>
    </sheetView>
  </sheetViews>
  <sheetFormatPr defaultColWidth="9.140625" defaultRowHeight="15" x14ac:dyDescent="0.25"/>
  <cols>
    <col min="1" max="1" width="3" style="11" customWidth="1"/>
    <col min="2" max="2" width="16.140625" style="11" customWidth="1"/>
    <col min="3" max="3" width="35.140625" style="11" customWidth="1"/>
    <col min="4" max="4" width="10.140625" style="11" customWidth="1"/>
    <col min="5" max="5" width="9.7109375" style="47" customWidth="1"/>
    <col min="6" max="17" width="17.5703125" style="11" customWidth="1"/>
    <col min="18" max="18" width="20.28515625" style="11" customWidth="1"/>
    <col min="19" max="19" width="3" style="11" customWidth="1"/>
    <col min="20" max="20" width="7.85546875" style="11" customWidth="1"/>
    <col min="21" max="16384" width="9.140625" style="11"/>
  </cols>
  <sheetData>
    <row r="1" spans="2:31" ht="21" x14ac:dyDescent="0.35">
      <c r="B1" s="97" t="str">
        <f>Apuração!B1</f>
        <v>Ano fiscal:</v>
      </c>
      <c r="C1" s="98">
        <f>Apuração!C1</f>
        <v>2022</v>
      </c>
    </row>
    <row r="2" spans="2:31" x14ac:dyDescent="0.25">
      <c r="B2" s="213" t="str">
        <f>Apuração!B2:C2</f>
        <v>CÁLCULO DO FUST/FUNTTEL - ANO 2022</v>
      </c>
      <c r="C2" s="214"/>
      <c r="D2" s="10" t="s">
        <v>51</v>
      </c>
      <c r="E2" s="8" t="str">
        <f>Apuração!E2</f>
        <v>ICMS</v>
      </c>
      <c r="F2" s="9" t="s">
        <v>88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215" t="s">
        <v>54</v>
      </c>
      <c r="T2" s="161" t="s">
        <v>89</v>
      </c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62"/>
    </row>
    <row r="3" spans="2:31" ht="15.75" thickBot="1" x14ac:dyDescent="0.3">
      <c r="B3" s="12" t="s">
        <v>55</v>
      </c>
      <c r="C3" s="13" t="s">
        <v>56</v>
      </c>
      <c r="D3" s="14" t="s">
        <v>57</v>
      </c>
      <c r="E3" s="15" t="str">
        <f>Apuração!E3</f>
        <v>UF</v>
      </c>
      <c r="F3" s="16">
        <f>Apuração!F3</f>
        <v>44562</v>
      </c>
      <c r="G3" s="16">
        <f>Apuração!G3</f>
        <v>44593</v>
      </c>
      <c r="H3" s="16">
        <f>Apuração!H3</f>
        <v>44621</v>
      </c>
      <c r="I3" s="16">
        <f>Apuração!I3</f>
        <v>44652</v>
      </c>
      <c r="J3" s="16">
        <f>Apuração!J3</f>
        <v>44682</v>
      </c>
      <c r="K3" s="16">
        <f>Apuração!K3</f>
        <v>44713</v>
      </c>
      <c r="L3" s="16">
        <f>Apuração!L3</f>
        <v>44743</v>
      </c>
      <c r="M3" s="16">
        <f>Apuração!M3</f>
        <v>44774</v>
      </c>
      <c r="N3" s="16">
        <f>Apuração!N3</f>
        <v>44805</v>
      </c>
      <c r="O3" s="16">
        <f>Apuração!O3</f>
        <v>44835</v>
      </c>
      <c r="P3" s="16">
        <f>Apuração!P3</f>
        <v>44866</v>
      </c>
      <c r="Q3" s="16">
        <f>Apuração!Q3</f>
        <v>44896</v>
      </c>
      <c r="R3" s="216"/>
      <c r="T3" s="163">
        <f>F3</f>
        <v>44562</v>
      </c>
      <c r="U3" s="164">
        <f t="shared" ref="U3:AE3" si="0">G3</f>
        <v>44593</v>
      </c>
      <c r="V3" s="164">
        <f t="shared" si="0"/>
        <v>44621</v>
      </c>
      <c r="W3" s="164">
        <f t="shared" si="0"/>
        <v>44652</v>
      </c>
      <c r="X3" s="164">
        <f t="shared" si="0"/>
        <v>44682</v>
      </c>
      <c r="Y3" s="164">
        <f t="shared" si="0"/>
        <v>44713</v>
      </c>
      <c r="Z3" s="164">
        <f t="shared" si="0"/>
        <v>44743</v>
      </c>
      <c r="AA3" s="164">
        <f t="shared" si="0"/>
        <v>44774</v>
      </c>
      <c r="AB3" s="164">
        <f t="shared" si="0"/>
        <v>44805</v>
      </c>
      <c r="AC3" s="164">
        <f t="shared" si="0"/>
        <v>44835</v>
      </c>
      <c r="AD3" s="164">
        <f t="shared" si="0"/>
        <v>44866</v>
      </c>
      <c r="AE3" s="165">
        <f t="shared" si="0"/>
        <v>44896</v>
      </c>
    </row>
    <row r="4" spans="2:31" x14ac:dyDescent="0.25">
      <c r="B4" s="17"/>
      <c r="C4" s="17"/>
      <c r="D4" s="17"/>
      <c r="E4" s="18"/>
      <c r="F4" s="17"/>
      <c r="G4" s="17"/>
      <c r="H4" s="17"/>
      <c r="I4" s="2"/>
      <c r="J4" s="17"/>
      <c r="K4" s="17"/>
      <c r="L4" s="17"/>
      <c r="M4" s="17"/>
      <c r="N4" s="17"/>
      <c r="O4" s="17"/>
      <c r="P4" s="17"/>
      <c r="Q4" s="17"/>
      <c r="R4" s="17"/>
      <c r="T4" s="90"/>
      <c r="AE4" s="166"/>
    </row>
    <row r="5" spans="2:31" x14ac:dyDescent="0.25">
      <c r="B5" s="19" t="s">
        <v>58</v>
      </c>
      <c r="C5" s="20"/>
      <c r="D5" s="20"/>
      <c r="E5" s="3"/>
      <c r="F5" s="21"/>
      <c r="G5" s="21"/>
      <c r="H5" s="21"/>
      <c r="I5" s="4"/>
      <c r="J5" s="21"/>
      <c r="K5" s="21"/>
      <c r="L5" s="21"/>
      <c r="M5" s="21"/>
      <c r="N5" s="21"/>
      <c r="O5" s="21"/>
      <c r="P5" s="21"/>
      <c r="Q5" s="21"/>
      <c r="R5" s="21"/>
      <c r="T5" s="90"/>
      <c r="AE5" s="166"/>
    </row>
    <row r="6" spans="2:31" x14ac:dyDescent="0.25">
      <c r="B6" s="22">
        <f>Apuração!B6</f>
        <v>0</v>
      </c>
      <c r="C6" s="23">
        <f>Apuração!C6</f>
        <v>0</v>
      </c>
      <c r="D6" s="159">
        <f>Apuração!D6</f>
        <v>0</v>
      </c>
      <c r="E6" s="24">
        <f>Apuração!E6</f>
        <v>0</v>
      </c>
      <c r="F6" s="25">
        <f>-TRUNC(Apuração!F6*T6,2)</f>
        <v>0</v>
      </c>
      <c r="G6" s="25">
        <f>-TRUNC(Apuração!G6*U6,2)</f>
        <v>0</v>
      </c>
      <c r="H6" s="25">
        <f>-TRUNC(Apuração!H6*V6,2)</f>
        <v>0</v>
      </c>
      <c r="I6" s="25">
        <f>-TRUNC(Apuração!I6*W6,2)</f>
        <v>0</v>
      </c>
      <c r="J6" s="25">
        <f>-TRUNC(Apuração!J6*X6,2)</f>
        <v>0</v>
      </c>
      <c r="K6" s="25">
        <f>-TRUNC(Apuração!K6*Y6,2)</f>
        <v>0</v>
      </c>
      <c r="L6" s="25">
        <f>-TRUNC(Apuração!L6*Z6,2)</f>
        <v>0</v>
      </c>
      <c r="M6" s="25">
        <f>-TRUNC(Apuração!M6*AA6,2)</f>
        <v>0</v>
      </c>
      <c r="N6" s="25">
        <f>-TRUNC(Apuração!N6*AB6,2)</f>
        <v>0</v>
      </c>
      <c r="O6" s="25">
        <f>-TRUNC(Apuração!O6*AC6,2)</f>
        <v>0</v>
      </c>
      <c r="P6" s="25">
        <f>-TRUNC(Apuração!P6*AD6,2)</f>
        <v>0</v>
      </c>
      <c r="Q6" s="25">
        <f>-TRUNC(Apuração!Q6*AE6,2)</f>
        <v>0</v>
      </c>
      <c r="R6" s="25">
        <f>SUM(F6:Q6)</f>
        <v>0</v>
      </c>
      <c r="S6" s="26"/>
      <c r="T6" s="186">
        <f>IF(OR($D6="ITX",$E6="NT"),0,IF($E$3="UF",_xlfn.XLOOKUP($E6,'Tabela mensal ICMS'!$B$34:$B$63,'Tabela mensal ICMS'!D$34:D$63,0),$E6))</f>
        <v>0</v>
      </c>
      <c r="U6" s="186">
        <f>IF(OR($D6="ITX",$E6="NT"),0,IF($E$3="UF",_xlfn.XLOOKUP($E6,'Tabela mensal ICMS'!$B$34:$B$63,'Tabela mensal ICMS'!E$34:E$63,0),$E6))</f>
        <v>0</v>
      </c>
      <c r="V6" s="186">
        <f>IF(OR($D6="ITX",$E6="NT"),0,IF($E$3="UF",_xlfn.XLOOKUP($E6,'Tabela mensal ICMS'!$B$34:$B$63,'Tabela mensal ICMS'!F$34:F$63,0),$E6))</f>
        <v>0</v>
      </c>
      <c r="W6" s="186">
        <f>IF(OR($D6="ITX",$E6="NT"),0,IF($E$3="UF",_xlfn.XLOOKUP($E6,'Tabela mensal ICMS'!$B$34:$B$63,'Tabela mensal ICMS'!G$34:G$63,0),$E6))</f>
        <v>0</v>
      </c>
      <c r="X6" s="186">
        <f>IF(OR($D6="ITX",$E6="NT"),0,IF($E$3="UF",_xlfn.XLOOKUP($E6,'Tabela mensal ICMS'!$B$34:$B$63,'Tabela mensal ICMS'!H$34:H$63,0),$E6))</f>
        <v>0</v>
      </c>
      <c r="Y6" s="186">
        <f>IF(OR($D6="ITX",$E6="NT"),0,IF($E$3="UF",_xlfn.XLOOKUP($E6,'Tabela mensal ICMS'!$B$34:$B$63,'Tabela mensal ICMS'!I$34:I$63,0),$E6))</f>
        <v>0</v>
      </c>
      <c r="Z6" s="186">
        <f>IF(OR($D6="ITX",$E6="NT"),0,IF($E$3="UF",_xlfn.XLOOKUP($E6,'Tabela mensal ICMS'!$B$34:$B$63,'Tabela mensal ICMS'!J$34:J$63,0),$E6))</f>
        <v>0</v>
      </c>
      <c r="AA6" s="186">
        <f>IF(OR($D6="ITX",$E6="NT"),0,IF($E$3="UF",_xlfn.XLOOKUP($E6,'Tabela mensal ICMS'!$B$34:$B$63,'Tabela mensal ICMS'!K$34:K$63,0),$E6))</f>
        <v>0</v>
      </c>
      <c r="AB6" s="186">
        <f>IF(OR($D6="ITX",$E6="NT"),0,IF($E$3="UF",_xlfn.XLOOKUP($E6,'Tabela mensal ICMS'!$B$34:$B$63,'Tabela mensal ICMS'!L$34:L$63,0),$E6))</f>
        <v>0</v>
      </c>
      <c r="AC6" s="186">
        <f>IF(OR($D6="ITX",$E6="NT"),0,IF($E$3="UF",_xlfn.XLOOKUP($E6,'Tabela mensal ICMS'!$B$34:$B$63,'Tabela mensal ICMS'!M$34:M$63,0),$E6))</f>
        <v>0</v>
      </c>
      <c r="AD6" s="186">
        <f>IF(OR($D6="ITX",$E6="NT"),0,IF($E$3="UF",_xlfn.XLOOKUP($E6,'Tabela mensal ICMS'!$B$34:$B$63,'Tabela mensal ICMS'!N$34:N$63,0),$E6))</f>
        <v>0</v>
      </c>
      <c r="AE6" s="186">
        <f>IF(OR($D6="ITX",$E6="NT"),0,IF($E$3="UF",_xlfn.XLOOKUP($E6,'Tabela mensal ICMS'!$B$34:$B$63,'Tabela mensal ICMS'!O$34:O$63,0),$E6))</f>
        <v>0</v>
      </c>
    </row>
    <row r="7" spans="2:31" x14ac:dyDescent="0.25">
      <c r="B7" s="22">
        <f>Apuração!B7</f>
        <v>0</v>
      </c>
      <c r="C7" s="23">
        <f>Apuração!C7</f>
        <v>0</v>
      </c>
      <c r="D7" s="160">
        <f>Apuração!D7</f>
        <v>0</v>
      </c>
      <c r="E7" s="27">
        <f>Apuração!E7</f>
        <v>0</v>
      </c>
      <c r="F7" s="25">
        <f>-TRUNC(Apuração!F7*T7,2)</f>
        <v>0</v>
      </c>
      <c r="G7" s="25">
        <f>-TRUNC(Apuração!G7*U7,2)</f>
        <v>0</v>
      </c>
      <c r="H7" s="25">
        <f>-TRUNC(Apuração!H7*V7,2)</f>
        <v>0</v>
      </c>
      <c r="I7" s="25">
        <f>-TRUNC(Apuração!I7*W7,2)</f>
        <v>0</v>
      </c>
      <c r="J7" s="25">
        <f>-TRUNC(Apuração!J7*X7,2)</f>
        <v>0</v>
      </c>
      <c r="K7" s="25">
        <f>-TRUNC(Apuração!K7*Y7,2)</f>
        <v>0</v>
      </c>
      <c r="L7" s="25">
        <f>-TRUNC(Apuração!L7*Z7,2)</f>
        <v>0</v>
      </c>
      <c r="M7" s="25">
        <f>-TRUNC(Apuração!M7*AA7,2)</f>
        <v>0</v>
      </c>
      <c r="N7" s="25">
        <f>-TRUNC(Apuração!N7*AB7,2)</f>
        <v>0</v>
      </c>
      <c r="O7" s="25">
        <f>-TRUNC(Apuração!O7*AC7,2)</f>
        <v>0</v>
      </c>
      <c r="P7" s="25">
        <f>-TRUNC(Apuração!P7*AD7,2)</f>
        <v>0</v>
      </c>
      <c r="Q7" s="25">
        <f>-TRUNC(Apuração!Q7*AE7,2)</f>
        <v>0</v>
      </c>
      <c r="R7" s="25">
        <f t="shared" ref="R7:R8" si="1">SUM(F7:Q7)</f>
        <v>0</v>
      </c>
      <c r="S7" s="26"/>
      <c r="T7" s="186">
        <f>IF(OR($D7="ITX",$E7="NT"),0,IF($E$3="UF",_xlfn.XLOOKUP($E7,'Tabela mensal ICMS'!$B$34:$B$63,'Tabela mensal ICMS'!D$34:D$63,0),$E7))</f>
        <v>0</v>
      </c>
      <c r="U7" s="186">
        <f>IF(OR($D7="ITX",$E7="NT"),0,IF($E$3="UF",_xlfn.XLOOKUP($E7,'Tabela mensal ICMS'!$B$34:$B$63,'Tabela mensal ICMS'!E$34:E$63,0),$E7))</f>
        <v>0</v>
      </c>
      <c r="V7" s="186">
        <f>IF(OR($D7="ITX",$E7="NT"),0,IF($E$3="UF",_xlfn.XLOOKUP($E7,'Tabela mensal ICMS'!$B$34:$B$63,'Tabela mensal ICMS'!F$34:F$63,0),$E7))</f>
        <v>0</v>
      </c>
      <c r="W7" s="186">
        <f>IF(OR($D7="ITX",$E7="NT"),0,IF($E$3="UF",_xlfn.XLOOKUP($E7,'Tabela mensal ICMS'!$B$34:$B$63,'Tabela mensal ICMS'!G$34:G$63,0),$E7))</f>
        <v>0</v>
      </c>
      <c r="X7" s="186">
        <f>IF(OR($D7="ITX",$E7="NT"),0,IF($E$3="UF",_xlfn.XLOOKUP($E7,'Tabela mensal ICMS'!$B$34:$B$63,'Tabela mensal ICMS'!H$34:H$63,0),$E7))</f>
        <v>0</v>
      </c>
      <c r="Y7" s="186">
        <f>IF(OR($D7="ITX",$E7="NT"),0,IF($E$3="UF",_xlfn.XLOOKUP($E7,'Tabela mensal ICMS'!$B$34:$B$63,'Tabela mensal ICMS'!I$34:I$63,0),$E7))</f>
        <v>0</v>
      </c>
      <c r="Z7" s="186">
        <f>IF(OR($D7="ITX",$E7="NT"),0,IF($E$3="UF",_xlfn.XLOOKUP($E7,'Tabela mensal ICMS'!$B$34:$B$63,'Tabela mensal ICMS'!J$34:J$63,0),$E7))</f>
        <v>0</v>
      </c>
      <c r="AA7" s="186">
        <f>IF(OR($D7="ITX",$E7="NT"),0,IF($E$3="UF",_xlfn.XLOOKUP($E7,'Tabela mensal ICMS'!$B$34:$B$63,'Tabela mensal ICMS'!K$34:K$63,0),$E7))</f>
        <v>0</v>
      </c>
      <c r="AB7" s="186">
        <f>IF(OR($D7="ITX",$E7="NT"),0,IF($E$3="UF",_xlfn.XLOOKUP($E7,'Tabela mensal ICMS'!$B$34:$B$63,'Tabela mensal ICMS'!L$34:L$63,0),$E7))</f>
        <v>0</v>
      </c>
      <c r="AC7" s="186">
        <f>IF(OR($D7="ITX",$E7="NT"),0,IF($E$3="UF",_xlfn.XLOOKUP($E7,'Tabela mensal ICMS'!$B$34:$B$63,'Tabela mensal ICMS'!M$34:M$63,0),$E7))</f>
        <v>0</v>
      </c>
      <c r="AD7" s="186">
        <f>IF(OR($D7="ITX",$E7="NT"),0,IF($E$3="UF",_xlfn.XLOOKUP($E7,'Tabela mensal ICMS'!$B$34:$B$63,'Tabela mensal ICMS'!N$34:N$63,0),$E7))</f>
        <v>0</v>
      </c>
      <c r="AE7" s="186">
        <f>IF(OR($D7="ITX",$E7="NT"),0,IF($E$3="UF",_xlfn.XLOOKUP($E7,'Tabela mensal ICMS'!$B$34:$B$63,'Tabela mensal ICMS'!O$34:O$63,0),$E7))</f>
        <v>0</v>
      </c>
    </row>
    <row r="8" spans="2:31" x14ac:dyDescent="0.25">
      <c r="B8" s="22">
        <f>Apuração!B8</f>
        <v>0</v>
      </c>
      <c r="C8" s="23">
        <f>Apuração!C8</f>
        <v>0</v>
      </c>
      <c r="D8" s="160">
        <f>Apuração!D8</f>
        <v>0</v>
      </c>
      <c r="E8" s="24">
        <f>Apuração!E8</f>
        <v>0</v>
      </c>
      <c r="F8" s="25">
        <f>-TRUNC(Apuração!F8*T8,2)</f>
        <v>0</v>
      </c>
      <c r="G8" s="25">
        <f>-TRUNC(Apuração!G8*U8,2)</f>
        <v>0</v>
      </c>
      <c r="H8" s="25">
        <f>-TRUNC(Apuração!H8*V8,2)</f>
        <v>0</v>
      </c>
      <c r="I8" s="25">
        <f>-TRUNC(Apuração!I8*W8,2)</f>
        <v>0</v>
      </c>
      <c r="J8" s="25">
        <f>-TRUNC(Apuração!J8*X8,2)</f>
        <v>0</v>
      </c>
      <c r="K8" s="25">
        <f>-TRUNC(Apuração!K8*Y8,2)</f>
        <v>0</v>
      </c>
      <c r="L8" s="25">
        <f>-TRUNC(Apuração!L8*Z8,2)</f>
        <v>0</v>
      </c>
      <c r="M8" s="25">
        <f>-TRUNC(Apuração!M8*AA8,2)</f>
        <v>0</v>
      </c>
      <c r="N8" s="25">
        <f>-TRUNC(Apuração!N8*AB8,2)</f>
        <v>0</v>
      </c>
      <c r="O8" s="25">
        <f>-TRUNC(Apuração!O8*AC8,2)</f>
        <v>0</v>
      </c>
      <c r="P8" s="25">
        <f>-TRUNC(Apuração!P8*AD8,2)</f>
        <v>0</v>
      </c>
      <c r="Q8" s="25">
        <f>-TRUNC(Apuração!Q8*AE8,2)</f>
        <v>0</v>
      </c>
      <c r="R8" s="25">
        <f t="shared" si="1"/>
        <v>0</v>
      </c>
      <c r="S8" s="26"/>
      <c r="T8" s="186">
        <f>IF(OR($D8="ITX",$E8="NT"),0,IF($E$3="UF",_xlfn.XLOOKUP($E8,'Tabela mensal ICMS'!$B$34:$B$63,'Tabela mensal ICMS'!D$34:D$63,0),$E8))</f>
        <v>0</v>
      </c>
      <c r="U8" s="186">
        <f>IF(OR($D8="ITX",$E8="NT"),0,IF($E$3="UF",_xlfn.XLOOKUP($E8,'Tabela mensal ICMS'!$B$34:$B$63,'Tabela mensal ICMS'!E$34:E$63,0),$E8))</f>
        <v>0</v>
      </c>
      <c r="V8" s="186">
        <f>IF(OR($D8="ITX",$E8="NT"),0,IF($E$3="UF",_xlfn.XLOOKUP($E8,'Tabela mensal ICMS'!$B$34:$B$63,'Tabela mensal ICMS'!F$34:F$63,0),$E8))</f>
        <v>0</v>
      </c>
      <c r="W8" s="186">
        <f>IF(OR($D8="ITX",$E8="NT"),0,IF($E$3="UF",_xlfn.XLOOKUP($E8,'Tabela mensal ICMS'!$B$34:$B$63,'Tabela mensal ICMS'!G$34:G$63,0),$E8))</f>
        <v>0</v>
      </c>
      <c r="X8" s="186">
        <f>IF(OR($D8="ITX",$E8="NT"),0,IF($E$3="UF",_xlfn.XLOOKUP($E8,'Tabela mensal ICMS'!$B$34:$B$63,'Tabela mensal ICMS'!H$34:H$63,0),$E8))</f>
        <v>0</v>
      </c>
      <c r="Y8" s="186">
        <f>IF(OR($D8="ITX",$E8="NT"),0,IF($E$3="UF",_xlfn.XLOOKUP($E8,'Tabela mensal ICMS'!$B$34:$B$63,'Tabela mensal ICMS'!I$34:I$63,0),$E8))</f>
        <v>0</v>
      </c>
      <c r="Z8" s="186">
        <f>IF(OR($D8="ITX",$E8="NT"),0,IF($E$3="UF",_xlfn.XLOOKUP($E8,'Tabela mensal ICMS'!$B$34:$B$63,'Tabela mensal ICMS'!J$34:J$63,0),$E8))</f>
        <v>0</v>
      </c>
      <c r="AA8" s="186">
        <f>IF(OR($D8="ITX",$E8="NT"),0,IF($E$3="UF",_xlfn.XLOOKUP($E8,'Tabela mensal ICMS'!$B$34:$B$63,'Tabela mensal ICMS'!K$34:K$63,0),$E8))</f>
        <v>0</v>
      </c>
      <c r="AB8" s="186">
        <f>IF(OR($D8="ITX",$E8="NT"),0,IF($E$3="UF",_xlfn.XLOOKUP($E8,'Tabela mensal ICMS'!$B$34:$B$63,'Tabela mensal ICMS'!L$34:L$63,0),$E8))</f>
        <v>0</v>
      </c>
      <c r="AC8" s="186">
        <f>IF(OR($D8="ITX",$E8="NT"),0,IF($E$3="UF",_xlfn.XLOOKUP($E8,'Tabela mensal ICMS'!$B$34:$B$63,'Tabela mensal ICMS'!M$34:M$63,0),$E8))</f>
        <v>0</v>
      </c>
      <c r="AD8" s="186">
        <f>IF(OR($D8="ITX",$E8="NT"),0,IF($E$3="UF",_xlfn.XLOOKUP($E8,'Tabela mensal ICMS'!$B$34:$B$63,'Tabela mensal ICMS'!N$34:N$63,0),$E8))</f>
        <v>0</v>
      </c>
      <c r="AE8" s="186">
        <f>IF(OR($D8="ITX",$E8="NT"),0,IF($E$3="UF",_xlfn.XLOOKUP($E8,'Tabela mensal ICMS'!$B$34:$B$63,'Tabela mensal ICMS'!O$34:O$63,0),$E8))</f>
        <v>0</v>
      </c>
    </row>
    <row r="9" spans="2:31" x14ac:dyDescent="0.25">
      <c r="B9" s="22">
        <f>Apuração!B9</f>
        <v>0</v>
      </c>
      <c r="C9" s="23">
        <f>Apuração!C9</f>
        <v>0</v>
      </c>
      <c r="D9" s="160">
        <f>Apuração!D9</f>
        <v>0</v>
      </c>
      <c r="E9" s="24">
        <f>Apuração!E9</f>
        <v>0</v>
      </c>
      <c r="F9" s="25">
        <f>-TRUNC(Apuração!F9*T9,2)</f>
        <v>0</v>
      </c>
      <c r="G9" s="25">
        <f>-TRUNC(Apuração!G9*U9,2)</f>
        <v>0</v>
      </c>
      <c r="H9" s="25">
        <f>-TRUNC(Apuração!H9*V9,2)</f>
        <v>0</v>
      </c>
      <c r="I9" s="25">
        <f>-TRUNC(Apuração!I9*W9,2)</f>
        <v>0</v>
      </c>
      <c r="J9" s="25">
        <f>-TRUNC(Apuração!J9*X9,2)</f>
        <v>0</v>
      </c>
      <c r="K9" s="25">
        <f>-TRUNC(Apuração!K9*Y9,2)</f>
        <v>0</v>
      </c>
      <c r="L9" s="25">
        <f>-TRUNC(Apuração!L9*Z9,2)</f>
        <v>0</v>
      </c>
      <c r="M9" s="25">
        <f>-TRUNC(Apuração!M9*AA9,2)</f>
        <v>0</v>
      </c>
      <c r="N9" s="25">
        <f>-TRUNC(Apuração!N9*AB9,2)</f>
        <v>0</v>
      </c>
      <c r="O9" s="25">
        <f>-TRUNC(Apuração!O9*AC9,2)</f>
        <v>0</v>
      </c>
      <c r="P9" s="25">
        <f>-TRUNC(Apuração!P9*AD9,2)</f>
        <v>0</v>
      </c>
      <c r="Q9" s="25">
        <f>-TRUNC(Apuração!Q9*AE9,2)</f>
        <v>0</v>
      </c>
      <c r="R9" s="25">
        <f t="shared" ref="R9" si="2">SUM(F9:Q9)</f>
        <v>0</v>
      </c>
      <c r="S9" s="26"/>
      <c r="T9" s="186">
        <f>IF(OR($D9="ITX",$E9="NT"),0,IF($E$3="UF",_xlfn.XLOOKUP($E9,'Tabela mensal ICMS'!$B$34:$B$63,'Tabela mensal ICMS'!D$34:D$63,0),$E9))</f>
        <v>0</v>
      </c>
      <c r="U9" s="186">
        <f>IF(OR($D9="ITX",$E9="NT"),0,IF($E$3="UF",_xlfn.XLOOKUP($E9,'Tabela mensal ICMS'!$B$34:$B$63,'Tabela mensal ICMS'!E$34:E$63,0),$E9))</f>
        <v>0</v>
      </c>
      <c r="V9" s="186">
        <f>IF(OR($D9="ITX",$E9="NT"),0,IF($E$3="UF",_xlfn.XLOOKUP($E9,'Tabela mensal ICMS'!$B$34:$B$63,'Tabela mensal ICMS'!F$34:F$63,0),$E9))</f>
        <v>0</v>
      </c>
      <c r="W9" s="186">
        <f>IF(OR($D9="ITX",$E9="NT"),0,IF($E$3="UF",_xlfn.XLOOKUP($E9,'Tabela mensal ICMS'!$B$34:$B$63,'Tabela mensal ICMS'!G$34:G$63,0),$E9))</f>
        <v>0</v>
      </c>
      <c r="X9" s="186">
        <f>IF(OR($D9="ITX",$E9="NT"),0,IF($E$3="UF",_xlfn.XLOOKUP($E9,'Tabela mensal ICMS'!$B$34:$B$63,'Tabela mensal ICMS'!H$34:H$63,0),$E9))</f>
        <v>0</v>
      </c>
      <c r="Y9" s="186">
        <f>IF(OR($D9="ITX",$E9="NT"),0,IF($E$3="UF",_xlfn.XLOOKUP($E9,'Tabela mensal ICMS'!$B$34:$B$63,'Tabela mensal ICMS'!I$34:I$63,0),$E9))</f>
        <v>0</v>
      </c>
      <c r="Z9" s="186">
        <f>IF(OR($D9="ITX",$E9="NT"),0,IF($E$3="UF",_xlfn.XLOOKUP($E9,'Tabela mensal ICMS'!$B$34:$B$63,'Tabela mensal ICMS'!J$34:J$63,0),$E9))</f>
        <v>0</v>
      </c>
      <c r="AA9" s="186">
        <f>IF(OR($D9="ITX",$E9="NT"),0,IF($E$3="UF",_xlfn.XLOOKUP($E9,'Tabela mensal ICMS'!$B$34:$B$63,'Tabela mensal ICMS'!K$34:K$63,0),$E9))</f>
        <v>0</v>
      </c>
      <c r="AB9" s="186">
        <f>IF(OR($D9="ITX",$E9="NT"),0,IF($E$3="UF",_xlfn.XLOOKUP($E9,'Tabela mensal ICMS'!$B$34:$B$63,'Tabela mensal ICMS'!L$34:L$63,0),$E9))</f>
        <v>0</v>
      </c>
      <c r="AC9" s="186">
        <f>IF(OR($D9="ITX",$E9="NT"),0,IF($E$3="UF",_xlfn.XLOOKUP($E9,'Tabela mensal ICMS'!$B$34:$B$63,'Tabela mensal ICMS'!M$34:M$63,0),$E9))</f>
        <v>0</v>
      </c>
      <c r="AD9" s="186">
        <f>IF(OR($D9="ITX",$E9="NT"),0,IF($E$3="UF",_xlfn.XLOOKUP($E9,'Tabela mensal ICMS'!$B$34:$B$63,'Tabela mensal ICMS'!N$34:N$63,0),$E9))</f>
        <v>0</v>
      </c>
      <c r="AE9" s="186">
        <f>IF(OR($D9="ITX",$E9="NT"),0,IF($E$3="UF",_xlfn.XLOOKUP($E9,'Tabela mensal ICMS'!$B$34:$B$63,'Tabela mensal ICMS'!O$34:O$63,0),$E9))</f>
        <v>0</v>
      </c>
    </row>
    <row r="10" spans="2:31" x14ac:dyDescent="0.25">
      <c r="B10" s="22">
        <f>Apuração!B10</f>
        <v>0</v>
      </c>
      <c r="C10" s="23">
        <f>Apuração!C10</f>
        <v>0</v>
      </c>
      <c r="D10" s="160">
        <f>Apuração!D10</f>
        <v>0</v>
      </c>
      <c r="E10" s="24">
        <f>Apuração!E10</f>
        <v>0</v>
      </c>
      <c r="F10" s="25">
        <f>-TRUNC(Apuração!F10*T10,2)</f>
        <v>0</v>
      </c>
      <c r="G10" s="25">
        <f>-TRUNC(Apuração!G10*U10,2)</f>
        <v>0</v>
      </c>
      <c r="H10" s="25">
        <f>-TRUNC(Apuração!H10*V10,2)</f>
        <v>0</v>
      </c>
      <c r="I10" s="25">
        <f>-TRUNC(Apuração!I10*W10,2)</f>
        <v>0</v>
      </c>
      <c r="J10" s="25">
        <f>-TRUNC(Apuração!J10*X10,2)</f>
        <v>0</v>
      </c>
      <c r="K10" s="25">
        <f>-TRUNC(Apuração!K10*Y10,2)</f>
        <v>0</v>
      </c>
      <c r="L10" s="25">
        <f>-TRUNC(Apuração!L10*Z10,2)</f>
        <v>0</v>
      </c>
      <c r="M10" s="25">
        <f>-TRUNC(Apuração!M10*AA10,2)</f>
        <v>0</v>
      </c>
      <c r="N10" s="25">
        <f>-TRUNC(Apuração!N10*AB10,2)</f>
        <v>0</v>
      </c>
      <c r="O10" s="25">
        <f>-TRUNC(Apuração!O10*AC10,2)</f>
        <v>0</v>
      </c>
      <c r="P10" s="25">
        <f>-TRUNC(Apuração!P10*AD10,2)</f>
        <v>0</v>
      </c>
      <c r="Q10" s="25">
        <f>-TRUNC(Apuração!Q10*AE10,2)</f>
        <v>0</v>
      </c>
      <c r="R10" s="25">
        <f t="shared" ref="R10" si="3">SUM(F10:Q10)</f>
        <v>0</v>
      </c>
      <c r="S10" s="26"/>
      <c r="T10" s="186">
        <f>IF(OR($D10="ITX",$E10="NT"),0,IF($E$3="UF",_xlfn.XLOOKUP($E10,'Tabela mensal ICMS'!$B$34:$B$63,'Tabela mensal ICMS'!D$34:D$63,0),$E10))</f>
        <v>0</v>
      </c>
      <c r="U10" s="186">
        <f>IF(OR($D10="ITX",$E10="NT"),0,IF($E$3="UF",_xlfn.XLOOKUP($E10,'Tabela mensal ICMS'!$B$34:$B$63,'Tabela mensal ICMS'!E$34:E$63,0),$E10))</f>
        <v>0</v>
      </c>
      <c r="V10" s="186">
        <f>IF(OR($D10="ITX",$E10="NT"),0,IF($E$3="UF",_xlfn.XLOOKUP($E10,'Tabela mensal ICMS'!$B$34:$B$63,'Tabela mensal ICMS'!F$34:F$63,0),$E10))</f>
        <v>0</v>
      </c>
      <c r="W10" s="186">
        <f>IF(OR($D10="ITX",$E10="NT"),0,IF($E$3="UF",_xlfn.XLOOKUP($E10,'Tabela mensal ICMS'!$B$34:$B$63,'Tabela mensal ICMS'!G$34:G$63,0),$E10))</f>
        <v>0</v>
      </c>
      <c r="X10" s="186">
        <f>IF(OR($D10="ITX",$E10="NT"),0,IF($E$3="UF",_xlfn.XLOOKUP($E10,'Tabela mensal ICMS'!$B$34:$B$63,'Tabela mensal ICMS'!H$34:H$63,0),$E10))</f>
        <v>0</v>
      </c>
      <c r="Y10" s="186">
        <f>IF(OR($D10="ITX",$E10="NT"),0,IF($E$3="UF",_xlfn.XLOOKUP($E10,'Tabela mensal ICMS'!$B$34:$B$63,'Tabela mensal ICMS'!I$34:I$63,0),$E10))</f>
        <v>0</v>
      </c>
      <c r="Z10" s="186">
        <f>IF(OR($D10="ITX",$E10="NT"),0,IF($E$3="UF",_xlfn.XLOOKUP($E10,'Tabela mensal ICMS'!$B$34:$B$63,'Tabela mensal ICMS'!J$34:J$63,0),$E10))</f>
        <v>0</v>
      </c>
      <c r="AA10" s="186">
        <f>IF(OR($D10="ITX",$E10="NT"),0,IF($E$3="UF",_xlfn.XLOOKUP($E10,'Tabela mensal ICMS'!$B$34:$B$63,'Tabela mensal ICMS'!K$34:K$63,0),$E10))</f>
        <v>0</v>
      </c>
      <c r="AB10" s="186">
        <f>IF(OR($D10="ITX",$E10="NT"),0,IF($E$3="UF",_xlfn.XLOOKUP($E10,'Tabela mensal ICMS'!$B$34:$B$63,'Tabela mensal ICMS'!L$34:L$63,0),$E10))</f>
        <v>0</v>
      </c>
      <c r="AC10" s="186">
        <f>IF(OR($D10="ITX",$E10="NT"),0,IF($E$3="UF",_xlfn.XLOOKUP($E10,'Tabela mensal ICMS'!$B$34:$B$63,'Tabela mensal ICMS'!M$34:M$63,0),$E10))</f>
        <v>0</v>
      </c>
      <c r="AD10" s="186">
        <f>IF(OR($D10="ITX",$E10="NT"),0,IF($E$3="UF",_xlfn.XLOOKUP($E10,'Tabela mensal ICMS'!$B$34:$B$63,'Tabela mensal ICMS'!N$34:N$63,0),$E10))</f>
        <v>0</v>
      </c>
      <c r="AE10" s="186">
        <f>IF(OR($D10="ITX",$E10="NT"),0,IF($E$3="UF",_xlfn.XLOOKUP($E10,'Tabela mensal ICMS'!$B$34:$B$63,'Tabela mensal ICMS'!O$34:O$63,0),$E10))</f>
        <v>0</v>
      </c>
    </row>
    <row r="11" spans="2:31" ht="18.75" customHeight="1" x14ac:dyDescent="0.25">
      <c r="B11" s="218" t="s">
        <v>90</v>
      </c>
      <c r="C11" s="218"/>
      <c r="D11" s="28"/>
      <c r="E11" s="29"/>
      <c r="F11" s="28">
        <f t="shared" ref="F11:R11" si="4">SUM(F6:F10)</f>
        <v>0</v>
      </c>
      <c r="G11" s="28">
        <f t="shared" si="4"/>
        <v>0</v>
      </c>
      <c r="H11" s="28">
        <f t="shared" si="4"/>
        <v>0</v>
      </c>
      <c r="I11" s="28">
        <f t="shared" si="4"/>
        <v>0</v>
      </c>
      <c r="J11" s="28">
        <f t="shared" si="4"/>
        <v>0</v>
      </c>
      <c r="K11" s="28">
        <f t="shared" si="4"/>
        <v>0</v>
      </c>
      <c r="L11" s="28">
        <f t="shared" si="4"/>
        <v>0</v>
      </c>
      <c r="M11" s="28">
        <f t="shared" si="4"/>
        <v>0</v>
      </c>
      <c r="N11" s="28">
        <f t="shared" si="4"/>
        <v>0</v>
      </c>
      <c r="O11" s="28">
        <f t="shared" si="4"/>
        <v>0</v>
      </c>
      <c r="P11" s="28">
        <f t="shared" si="4"/>
        <v>0</v>
      </c>
      <c r="Q11" s="28">
        <f t="shared" si="4"/>
        <v>0</v>
      </c>
      <c r="R11" s="50">
        <f t="shared" si="4"/>
        <v>0</v>
      </c>
    </row>
    <row r="12" spans="2:31" x14ac:dyDescent="0.25">
      <c r="B12" s="30" t="s">
        <v>60</v>
      </c>
      <c r="C12" s="31"/>
      <c r="D12" s="31"/>
      <c r="E12" s="18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</row>
    <row r="13" spans="2:31" x14ac:dyDescent="0.25">
      <c r="B13" s="22">
        <f>Apuração!B13</f>
        <v>0</v>
      </c>
      <c r="C13" s="23">
        <f>Apuração!C13</f>
        <v>0</v>
      </c>
      <c r="D13" s="23">
        <f>Apuração!D13</f>
        <v>0</v>
      </c>
      <c r="E13" s="24">
        <f>Apuração!E13</f>
        <v>0</v>
      </c>
      <c r="F13" s="25">
        <f>-TRUNC(Apuração!F13*$E13,2)</f>
        <v>0</v>
      </c>
      <c r="G13" s="25">
        <f>-TRUNC(Apuração!G13*$E13,2)</f>
        <v>0</v>
      </c>
      <c r="H13" s="25">
        <f>-TRUNC(Apuração!H13*$E13,2)</f>
        <v>0</v>
      </c>
      <c r="I13" s="25">
        <f>-TRUNC(Apuração!I13*$E13,2)</f>
        <v>0</v>
      </c>
      <c r="J13" s="25">
        <f>-TRUNC(Apuração!J13*$E13,2)</f>
        <v>0</v>
      </c>
      <c r="K13" s="25">
        <f>-TRUNC(Apuração!K13*$E13,2)</f>
        <v>0</v>
      </c>
      <c r="L13" s="25">
        <f>-TRUNC(Apuração!L13*$E13,2)</f>
        <v>0</v>
      </c>
      <c r="M13" s="25">
        <f>-TRUNC(Apuração!M13*$E13,2)</f>
        <v>0</v>
      </c>
      <c r="N13" s="25">
        <f>-TRUNC(Apuração!N13*$E13,2)</f>
        <v>0</v>
      </c>
      <c r="O13" s="25">
        <f>-TRUNC(Apuração!O13*$E13,2)</f>
        <v>0</v>
      </c>
      <c r="P13" s="25">
        <f>-TRUNC(Apuração!P13*$E13,2)</f>
        <v>0</v>
      </c>
      <c r="Q13" s="25">
        <f>-TRUNC(Apuração!Q13*$E13,2)</f>
        <v>0</v>
      </c>
      <c r="R13" s="25">
        <f>SUM(F13:Q13)</f>
        <v>0</v>
      </c>
      <c r="T13" s="186">
        <f>IF(OR($D13="ITX",$E13="NT"),0,IF($E$3="UF",_xlfn.XLOOKUP($E13,'Tabela mensal ICMS'!$B$34:$B$63,'Tabela mensal ICMS'!D$34:D$63,0),$E13))</f>
        <v>0</v>
      </c>
      <c r="U13" s="186">
        <f>IF(OR($D13="ITX",$E13="NT"),0,IF($E$3="UF",_xlfn.XLOOKUP($E13,'Tabela mensal ICMS'!$B$34:$B$63,'Tabela mensal ICMS'!E$34:E$63,0),$E13))</f>
        <v>0</v>
      </c>
      <c r="V13" s="186">
        <f>IF(OR($D13="ITX",$E13="NT"),0,IF($E$3="UF",_xlfn.XLOOKUP($E13,'Tabela mensal ICMS'!$B$34:$B$63,'Tabela mensal ICMS'!F$34:F$63,0),$E13))</f>
        <v>0</v>
      </c>
      <c r="W13" s="186">
        <f>IF(OR($D13="ITX",$E13="NT"),0,IF($E$3="UF",_xlfn.XLOOKUP($E13,'Tabela mensal ICMS'!$B$34:$B$63,'Tabela mensal ICMS'!G$34:G$63,0),$E13))</f>
        <v>0</v>
      </c>
      <c r="X13" s="186">
        <f>IF(OR($D13="ITX",$E13="NT"),0,IF($E$3="UF",_xlfn.XLOOKUP($E13,'Tabela mensal ICMS'!$B$34:$B$63,'Tabela mensal ICMS'!H$34:H$63,0),$E13))</f>
        <v>0</v>
      </c>
      <c r="Y13" s="186">
        <f>IF(OR($D13="ITX",$E13="NT"),0,IF($E$3="UF",_xlfn.XLOOKUP($E13,'Tabela mensal ICMS'!$B$34:$B$63,'Tabela mensal ICMS'!I$34:I$63,0),$E13))</f>
        <v>0</v>
      </c>
      <c r="Z13" s="186">
        <f>IF(OR($D13="ITX",$E13="NT"),0,IF($E$3="UF",_xlfn.XLOOKUP($E13,'Tabela mensal ICMS'!$B$34:$B$63,'Tabela mensal ICMS'!J$34:J$63,0),$E13))</f>
        <v>0</v>
      </c>
      <c r="AA13" s="186">
        <f>IF(OR($D13="ITX",$E13="NT"),0,IF($E$3="UF",_xlfn.XLOOKUP($E13,'Tabela mensal ICMS'!$B$34:$B$63,'Tabela mensal ICMS'!K$34:K$63,0),$E13))</f>
        <v>0</v>
      </c>
      <c r="AB13" s="186">
        <f>IF(OR($D13="ITX",$E13="NT"),0,IF($E$3="UF",_xlfn.XLOOKUP($E13,'Tabela mensal ICMS'!$B$34:$B$63,'Tabela mensal ICMS'!L$34:L$63,0),$E13))</f>
        <v>0</v>
      </c>
      <c r="AC13" s="186">
        <f>IF(OR($D13="ITX",$E13="NT"),0,IF($E$3="UF",_xlfn.XLOOKUP($E13,'Tabela mensal ICMS'!$B$34:$B$63,'Tabela mensal ICMS'!M$34:M$63,0),$E13))</f>
        <v>0</v>
      </c>
      <c r="AD13" s="186">
        <f>IF(OR($D13="ITX",$E13="NT"),0,IF($E$3="UF",_xlfn.XLOOKUP($E13,'Tabela mensal ICMS'!$B$34:$B$63,'Tabela mensal ICMS'!N$34:N$63,0),$E13))</f>
        <v>0</v>
      </c>
      <c r="AE13" s="186">
        <f>IF(OR($D13="ITX",$E13="NT"),0,IF($E$3="UF",_xlfn.XLOOKUP($E13,'Tabela mensal ICMS'!$B$34:$B$63,'Tabela mensal ICMS'!O$34:O$63,0),$E13))</f>
        <v>0</v>
      </c>
    </row>
    <row r="14" spans="2:31" x14ac:dyDescent="0.25">
      <c r="B14" s="22">
        <f>Apuração!B14</f>
        <v>0</v>
      </c>
      <c r="C14" s="23">
        <f>Apuração!C14</f>
        <v>0</v>
      </c>
      <c r="D14" s="23">
        <f>Apuração!D14</f>
        <v>0</v>
      </c>
      <c r="E14" s="24">
        <f>Apuração!E14</f>
        <v>0</v>
      </c>
      <c r="F14" s="25">
        <f>-TRUNC(Apuração!F14*$E14,2)</f>
        <v>0</v>
      </c>
      <c r="G14" s="25">
        <f>-TRUNC(Apuração!G14*$E14,2)</f>
        <v>0</v>
      </c>
      <c r="H14" s="25">
        <f>-TRUNC(Apuração!H14*$E14,2)</f>
        <v>0</v>
      </c>
      <c r="I14" s="25">
        <f>-TRUNC(Apuração!I14*$E14,2)</f>
        <v>0</v>
      </c>
      <c r="J14" s="25">
        <f>-TRUNC(Apuração!J14*$E14,2)</f>
        <v>0</v>
      </c>
      <c r="K14" s="25">
        <f>-TRUNC(Apuração!K14*$E14,2)</f>
        <v>0</v>
      </c>
      <c r="L14" s="25">
        <f>-TRUNC(Apuração!L14*$E14,2)</f>
        <v>0</v>
      </c>
      <c r="M14" s="25">
        <f>-TRUNC(Apuração!M14*$E14,2)</f>
        <v>0</v>
      </c>
      <c r="N14" s="25">
        <f>-TRUNC(Apuração!N14*$E14,2)</f>
        <v>0</v>
      </c>
      <c r="O14" s="25">
        <f>-TRUNC(Apuração!O14*$E14,2)</f>
        <v>0</v>
      </c>
      <c r="P14" s="25">
        <f>-TRUNC(Apuração!P14*$E14,2)</f>
        <v>0</v>
      </c>
      <c r="Q14" s="25">
        <f>-TRUNC(Apuração!Q14*$E14,2)</f>
        <v>0</v>
      </c>
      <c r="R14" s="25">
        <f>SUM(F14:Q14)</f>
        <v>0</v>
      </c>
      <c r="T14" s="186">
        <f>IF(OR($D14="ITX",$E14="NT"),0,IF($E$3="UF",_xlfn.XLOOKUP($E14,'Tabela mensal ICMS'!$B$34:$B$63,'Tabela mensal ICMS'!D$34:D$63,0),$E14))</f>
        <v>0</v>
      </c>
      <c r="U14" s="186">
        <f>IF(OR($D14="ITX",$E14="NT"),0,IF($E$3="UF",_xlfn.XLOOKUP($E14,'Tabela mensal ICMS'!$B$34:$B$63,'Tabela mensal ICMS'!E$34:E$63,0),$E14))</f>
        <v>0</v>
      </c>
      <c r="V14" s="186">
        <f>IF(OR($D14="ITX",$E14="NT"),0,IF($E$3="UF",_xlfn.XLOOKUP($E14,'Tabela mensal ICMS'!$B$34:$B$63,'Tabela mensal ICMS'!F$34:F$63,0),$E14))</f>
        <v>0</v>
      </c>
      <c r="W14" s="186">
        <f>IF(OR($D14="ITX",$E14="NT"),0,IF($E$3="UF",_xlfn.XLOOKUP($E14,'Tabela mensal ICMS'!$B$34:$B$63,'Tabela mensal ICMS'!G$34:G$63,0),$E14))</f>
        <v>0</v>
      </c>
      <c r="X14" s="186">
        <f>IF(OR($D14="ITX",$E14="NT"),0,IF($E$3="UF",_xlfn.XLOOKUP($E14,'Tabela mensal ICMS'!$B$34:$B$63,'Tabela mensal ICMS'!H$34:H$63,0),$E14))</f>
        <v>0</v>
      </c>
      <c r="Y14" s="186">
        <f>IF(OR($D14="ITX",$E14="NT"),0,IF($E$3="UF",_xlfn.XLOOKUP($E14,'Tabela mensal ICMS'!$B$34:$B$63,'Tabela mensal ICMS'!I$34:I$63,0),$E14))</f>
        <v>0</v>
      </c>
      <c r="Z14" s="186">
        <f>IF(OR($D14="ITX",$E14="NT"),0,IF($E$3="UF",_xlfn.XLOOKUP($E14,'Tabela mensal ICMS'!$B$34:$B$63,'Tabela mensal ICMS'!J$34:J$63,0),$E14))</f>
        <v>0</v>
      </c>
      <c r="AA14" s="186">
        <f>IF(OR($D14="ITX",$E14="NT"),0,IF($E$3="UF",_xlfn.XLOOKUP($E14,'Tabela mensal ICMS'!$B$34:$B$63,'Tabela mensal ICMS'!K$34:K$63,0),$E14))</f>
        <v>0</v>
      </c>
      <c r="AB14" s="186">
        <f>IF(OR($D14="ITX",$E14="NT"),0,IF($E$3="UF",_xlfn.XLOOKUP($E14,'Tabela mensal ICMS'!$B$34:$B$63,'Tabela mensal ICMS'!L$34:L$63,0),$E14))</f>
        <v>0</v>
      </c>
      <c r="AC14" s="186">
        <f>IF(OR($D14="ITX",$E14="NT"),0,IF($E$3="UF",_xlfn.XLOOKUP($E14,'Tabela mensal ICMS'!$B$34:$B$63,'Tabela mensal ICMS'!M$34:M$63,0),$E14))</f>
        <v>0</v>
      </c>
      <c r="AD14" s="186">
        <f>IF(OR($D14="ITX",$E14="NT"),0,IF($E$3="UF",_xlfn.XLOOKUP($E14,'Tabela mensal ICMS'!$B$34:$B$63,'Tabela mensal ICMS'!N$34:N$63,0),$E14))</f>
        <v>0</v>
      </c>
      <c r="AE14" s="186">
        <f>IF(OR($D14="ITX",$E14="NT"),0,IF($E$3="UF",_xlfn.XLOOKUP($E14,'Tabela mensal ICMS'!$B$34:$B$63,'Tabela mensal ICMS'!O$34:O$63,0),$E14))</f>
        <v>0</v>
      </c>
    </row>
    <row r="15" spans="2:31" x14ac:dyDescent="0.25">
      <c r="B15" s="22">
        <f>Apuração!B15</f>
        <v>0</v>
      </c>
      <c r="C15" s="23">
        <f>Apuração!C15</f>
        <v>0</v>
      </c>
      <c r="D15" s="23">
        <f>Apuração!D15</f>
        <v>0</v>
      </c>
      <c r="E15" s="24">
        <f>Apuração!E15</f>
        <v>0</v>
      </c>
      <c r="F15" s="25">
        <f>-TRUNC(Apuração!F15*$E15,2)</f>
        <v>0</v>
      </c>
      <c r="G15" s="25">
        <f>-TRUNC(Apuração!G15*$E15,2)</f>
        <v>0</v>
      </c>
      <c r="H15" s="25">
        <f>-TRUNC(Apuração!H15*$E15,2)</f>
        <v>0</v>
      </c>
      <c r="I15" s="25">
        <f>-TRUNC(Apuração!I15*$E15,2)</f>
        <v>0</v>
      </c>
      <c r="J15" s="25">
        <f>-TRUNC(Apuração!J15*$E15,2)</f>
        <v>0</v>
      </c>
      <c r="K15" s="25">
        <f>-TRUNC(Apuração!K15*$E15,2)</f>
        <v>0</v>
      </c>
      <c r="L15" s="25">
        <f>-TRUNC(Apuração!L15*$E15,2)</f>
        <v>0</v>
      </c>
      <c r="M15" s="25">
        <f>-TRUNC(Apuração!M15*$E15,2)</f>
        <v>0</v>
      </c>
      <c r="N15" s="25">
        <f>-TRUNC(Apuração!N15*$E15,2)</f>
        <v>0</v>
      </c>
      <c r="O15" s="25">
        <f>-TRUNC(Apuração!O15*$E15,2)</f>
        <v>0</v>
      </c>
      <c r="P15" s="25">
        <f>-TRUNC(Apuração!P15*$E15,2)</f>
        <v>0</v>
      </c>
      <c r="Q15" s="25">
        <f>-TRUNC(Apuração!Q15*$E15,2)</f>
        <v>0</v>
      </c>
      <c r="R15" s="25">
        <f t="shared" ref="R15" si="5">SUM(F15:Q15)</f>
        <v>0</v>
      </c>
      <c r="T15" s="186">
        <f>IF(OR($D15="ITX",$E15="NT"),0,IF($E$3="UF",_xlfn.XLOOKUP($E15,'Tabela mensal ICMS'!$B$34:$B$63,'Tabela mensal ICMS'!D$34:D$63,0),$E15))</f>
        <v>0</v>
      </c>
      <c r="U15" s="186">
        <f>IF(OR($D15="ITX",$E15="NT"),0,IF($E$3="UF",_xlfn.XLOOKUP($E15,'Tabela mensal ICMS'!$B$34:$B$63,'Tabela mensal ICMS'!E$34:E$63,0),$E15))</f>
        <v>0</v>
      </c>
      <c r="V15" s="186">
        <f>IF(OR($D15="ITX",$E15="NT"),0,IF($E$3="UF",_xlfn.XLOOKUP($E15,'Tabela mensal ICMS'!$B$34:$B$63,'Tabela mensal ICMS'!F$34:F$63,0),$E15))</f>
        <v>0</v>
      </c>
      <c r="W15" s="186">
        <f>IF(OR($D15="ITX",$E15="NT"),0,IF($E$3="UF",_xlfn.XLOOKUP($E15,'Tabela mensal ICMS'!$B$34:$B$63,'Tabela mensal ICMS'!G$34:G$63,0),$E15))</f>
        <v>0</v>
      </c>
      <c r="X15" s="186">
        <f>IF(OR($D15="ITX",$E15="NT"),0,IF($E$3="UF",_xlfn.XLOOKUP($E15,'Tabela mensal ICMS'!$B$34:$B$63,'Tabela mensal ICMS'!H$34:H$63,0),$E15))</f>
        <v>0</v>
      </c>
      <c r="Y15" s="186">
        <f>IF(OR($D15="ITX",$E15="NT"),0,IF($E$3="UF",_xlfn.XLOOKUP($E15,'Tabela mensal ICMS'!$B$34:$B$63,'Tabela mensal ICMS'!I$34:I$63,0),$E15))</f>
        <v>0</v>
      </c>
      <c r="Z15" s="186">
        <f>IF(OR($D15="ITX",$E15="NT"),0,IF($E$3="UF",_xlfn.XLOOKUP($E15,'Tabela mensal ICMS'!$B$34:$B$63,'Tabela mensal ICMS'!J$34:J$63,0),$E15))</f>
        <v>0</v>
      </c>
      <c r="AA15" s="186">
        <f>IF(OR($D15="ITX",$E15="NT"),0,IF($E$3="UF",_xlfn.XLOOKUP($E15,'Tabela mensal ICMS'!$B$34:$B$63,'Tabela mensal ICMS'!K$34:K$63,0),$E15))</f>
        <v>0</v>
      </c>
      <c r="AB15" s="186">
        <f>IF(OR($D15="ITX",$E15="NT"),0,IF($E$3="UF",_xlfn.XLOOKUP($E15,'Tabela mensal ICMS'!$B$34:$B$63,'Tabela mensal ICMS'!L$34:L$63,0),$E15))</f>
        <v>0</v>
      </c>
      <c r="AC15" s="186">
        <f>IF(OR($D15="ITX",$E15="NT"),0,IF($E$3="UF",_xlfn.XLOOKUP($E15,'Tabela mensal ICMS'!$B$34:$B$63,'Tabela mensal ICMS'!M$34:M$63,0),$E15))</f>
        <v>0</v>
      </c>
      <c r="AD15" s="186">
        <f>IF(OR($D15="ITX",$E15="NT"),0,IF($E$3="UF",_xlfn.XLOOKUP($E15,'Tabela mensal ICMS'!$B$34:$B$63,'Tabela mensal ICMS'!N$34:N$63,0),$E15))</f>
        <v>0</v>
      </c>
      <c r="AE15" s="186">
        <f>IF(OR($D15="ITX",$E15="NT"),0,IF($E$3="UF",_xlfn.XLOOKUP($E15,'Tabela mensal ICMS'!$B$34:$B$63,'Tabela mensal ICMS'!O$34:O$63,0),$E15))</f>
        <v>0</v>
      </c>
    </row>
    <row r="16" spans="2:31" x14ac:dyDescent="0.25">
      <c r="B16" s="218" t="s">
        <v>61</v>
      </c>
      <c r="C16" s="218"/>
      <c r="D16" s="28"/>
      <c r="E16" s="29"/>
      <c r="F16" s="28">
        <f t="shared" ref="F16:R16" si="6">SUM(F13:F15)</f>
        <v>0</v>
      </c>
      <c r="G16" s="28">
        <f t="shared" ref="G16:Q16" si="7">SUM(G13:G15)</f>
        <v>0</v>
      </c>
      <c r="H16" s="28">
        <f t="shared" si="7"/>
        <v>0</v>
      </c>
      <c r="I16" s="28">
        <f t="shared" si="7"/>
        <v>0</v>
      </c>
      <c r="J16" s="28">
        <f t="shared" si="7"/>
        <v>0</v>
      </c>
      <c r="K16" s="28">
        <f t="shared" si="7"/>
        <v>0</v>
      </c>
      <c r="L16" s="28">
        <f t="shared" si="7"/>
        <v>0</v>
      </c>
      <c r="M16" s="28">
        <f t="shared" si="7"/>
        <v>0</v>
      </c>
      <c r="N16" s="28">
        <f t="shared" si="7"/>
        <v>0</v>
      </c>
      <c r="O16" s="28">
        <f t="shared" si="7"/>
        <v>0</v>
      </c>
      <c r="P16" s="28">
        <f t="shared" si="7"/>
        <v>0</v>
      </c>
      <c r="Q16" s="28">
        <f t="shared" si="7"/>
        <v>0</v>
      </c>
      <c r="R16" s="28">
        <f t="shared" si="6"/>
        <v>0</v>
      </c>
    </row>
    <row r="17" spans="2:20" x14ac:dyDescent="0.25">
      <c r="B17" s="32"/>
      <c r="C17" s="32"/>
      <c r="D17" s="32"/>
      <c r="E17" s="18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2:20" x14ac:dyDescent="0.25">
      <c r="B18" s="32"/>
      <c r="C18" s="33" t="s">
        <v>91</v>
      </c>
      <c r="D18" s="33"/>
      <c r="E18" s="18"/>
      <c r="F18" s="32">
        <f t="shared" ref="F18:R18" si="8">F11+F16</f>
        <v>0</v>
      </c>
      <c r="G18" s="32">
        <f t="shared" ref="G18:Q18" si="9">G11+G16</f>
        <v>0</v>
      </c>
      <c r="H18" s="32">
        <f t="shared" si="9"/>
        <v>0</v>
      </c>
      <c r="I18" s="32">
        <f t="shared" si="9"/>
        <v>0</v>
      </c>
      <c r="J18" s="32">
        <f t="shared" si="9"/>
        <v>0</v>
      </c>
      <c r="K18" s="32">
        <f t="shared" si="9"/>
        <v>0</v>
      </c>
      <c r="L18" s="32">
        <f t="shared" si="9"/>
        <v>0</v>
      </c>
      <c r="M18" s="32">
        <f t="shared" si="9"/>
        <v>0</v>
      </c>
      <c r="N18" s="32">
        <f t="shared" si="9"/>
        <v>0</v>
      </c>
      <c r="O18" s="32">
        <f t="shared" si="9"/>
        <v>0</v>
      </c>
      <c r="P18" s="32">
        <f t="shared" si="9"/>
        <v>0</v>
      </c>
      <c r="Q18" s="32">
        <f t="shared" si="9"/>
        <v>0</v>
      </c>
      <c r="R18" s="32">
        <f t="shared" si="8"/>
        <v>0</v>
      </c>
    </row>
    <row r="19" spans="2:20" x14ac:dyDescent="0.25">
      <c r="B19" s="32"/>
      <c r="C19" s="32"/>
      <c r="D19" s="32"/>
      <c r="E19" s="18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2:20" x14ac:dyDescent="0.25">
      <c r="B20" s="34" t="s">
        <v>92</v>
      </c>
      <c r="C20" s="32"/>
      <c r="D20" s="32"/>
      <c r="E20" s="18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2:20" x14ac:dyDescent="0.25">
      <c r="B21" s="180"/>
      <c r="C21" s="184"/>
      <c r="D21" s="180"/>
      <c r="E21" s="185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5">
        <f>SUM(F21:Q21)</f>
        <v>0</v>
      </c>
      <c r="S21" s="35"/>
      <c r="T21" s="36"/>
    </row>
    <row r="22" spans="2:20" x14ac:dyDescent="0.25">
      <c r="B22" s="180"/>
      <c r="C22" s="180"/>
      <c r="D22" s="180"/>
      <c r="E22" s="185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5">
        <f>SUM(F22:Q22)</f>
        <v>0</v>
      </c>
    </row>
    <row r="23" spans="2:20" x14ac:dyDescent="0.25">
      <c r="B23" s="180"/>
      <c r="C23" s="180"/>
      <c r="D23" s="180"/>
      <c r="E23" s="185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5">
        <f>SUM(F23:Q23)</f>
        <v>0</v>
      </c>
    </row>
    <row r="24" spans="2:20" x14ac:dyDescent="0.25">
      <c r="C24" s="38" t="s">
        <v>69</v>
      </c>
      <c r="D24" s="38"/>
      <c r="E24" s="5"/>
      <c r="F24" s="28">
        <f t="shared" ref="F24:R24" si="10">SUM(F21:F23)</f>
        <v>0</v>
      </c>
      <c r="G24" s="28">
        <f t="shared" ref="G24:Q24" si="11">SUM(G21:G23)</f>
        <v>0</v>
      </c>
      <c r="H24" s="28">
        <f t="shared" si="11"/>
        <v>0</v>
      </c>
      <c r="I24" s="28">
        <f t="shared" si="11"/>
        <v>0</v>
      </c>
      <c r="J24" s="28">
        <f t="shared" si="11"/>
        <v>0</v>
      </c>
      <c r="K24" s="28">
        <f t="shared" si="11"/>
        <v>0</v>
      </c>
      <c r="L24" s="28">
        <f t="shared" si="11"/>
        <v>0</v>
      </c>
      <c r="M24" s="28">
        <f t="shared" si="11"/>
        <v>0</v>
      </c>
      <c r="N24" s="28">
        <f t="shared" si="11"/>
        <v>0</v>
      </c>
      <c r="O24" s="28">
        <f t="shared" si="11"/>
        <v>0</v>
      </c>
      <c r="P24" s="28">
        <f t="shared" si="11"/>
        <v>0</v>
      </c>
      <c r="Q24" s="28">
        <f t="shared" si="11"/>
        <v>0</v>
      </c>
      <c r="R24" s="28">
        <f t="shared" si="10"/>
        <v>0</v>
      </c>
    </row>
    <row r="25" spans="2:20" x14ac:dyDescent="0.25">
      <c r="E25" s="5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spans="2:20" x14ac:dyDescent="0.25">
      <c r="B26" s="40" t="s">
        <v>93</v>
      </c>
      <c r="E26" s="6"/>
      <c r="F26" s="32">
        <f>IF(ABS($R$24)&lt;ABS($R$18),F24,F18)</f>
        <v>0</v>
      </c>
      <c r="G26" s="32">
        <f t="shared" ref="G26:Q26" si="12">IF(ABS($R$24)&lt;ABS($R$18),G24,G18)</f>
        <v>0</v>
      </c>
      <c r="H26" s="32">
        <f t="shared" si="12"/>
        <v>0</v>
      </c>
      <c r="I26" s="32">
        <f t="shared" si="12"/>
        <v>0</v>
      </c>
      <c r="J26" s="32">
        <f t="shared" si="12"/>
        <v>0</v>
      </c>
      <c r="K26" s="32">
        <f t="shared" si="12"/>
        <v>0</v>
      </c>
      <c r="L26" s="32">
        <f t="shared" si="12"/>
        <v>0</v>
      </c>
      <c r="M26" s="32">
        <f t="shared" si="12"/>
        <v>0</v>
      </c>
      <c r="N26" s="32">
        <f t="shared" si="12"/>
        <v>0</v>
      </c>
      <c r="O26" s="32">
        <f t="shared" si="12"/>
        <v>0</v>
      </c>
      <c r="P26" s="32">
        <f t="shared" si="12"/>
        <v>0</v>
      </c>
      <c r="Q26" s="32">
        <f t="shared" si="12"/>
        <v>0</v>
      </c>
      <c r="R26" s="32">
        <f>SUM(F26:Q26)</f>
        <v>0</v>
      </c>
    </row>
    <row r="27" spans="2:20" x14ac:dyDescent="0.25">
      <c r="B27" s="11" t="s">
        <v>94</v>
      </c>
      <c r="E27" s="6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spans="2:20" x14ac:dyDescent="0.25">
      <c r="E28" s="6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spans="2:20" x14ac:dyDescent="0.25">
      <c r="B29" s="40" t="s">
        <v>95</v>
      </c>
      <c r="E29" s="6"/>
      <c r="F29" s="32">
        <f t="shared" ref="F29:Q29" si="13">IF(ABS(SUMIFS($R$21:$R$23,$D$21:$D$23,"ITX")+SUMIFS($R$21:$R$23,$D$21:$D$23,"EILD"))&lt;ABS(SUMIFS($R$6:$R$15,$D$6:$D$15,"ITX")+SUMIFS($R$6:$R$15,$D$6:$D$15,"EILD")),SUMIFS(F$21:F$23,$D$21:$D$23,"ITX")+SUMIFS(F$21:F$23,$D$21:$D$23,"EILD"),SUMIFS(F$6:F$15,$D$6:$D$15,"ITX")+SUMIFS(F$6:F$15,$D$6:$D$15,"EILD"))</f>
        <v>0</v>
      </c>
      <c r="G29" s="32">
        <f t="shared" si="13"/>
        <v>0</v>
      </c>
      <c r="H29" s="32">
        <f t="shared" si="13"/>
        <v>0</v>
      </c>
      <c r="I29" s="32">
        <f t="shared" si="13"/>
        <v>0</v>
      </c>
      <c r="J29" s="32">
        <f t="shared" si="13"/>
        <v>0</v>
      </c>
      <c r="K29" s="32">
        <f t="shared" si="13"/>
        <v>0</v>
      </c>
      <c r="L29" s="32">
        <f t="shared" si="13"/>
        <v>0</v>
      </c>
      <c r="M29" s="32">
        <f t="shared" si="13"/>
        <v>0</v>
      </c>
      <c r="N29" s="32">
        <f t="shared" si="13"/>
        <v>0</v>
      </c>
      <c r="O29" s="32">
        <f t="shared" si="13"/>
        <v>0</v>
      </c>
      <c r="P29" s="32">
        <f t="shared" si="13"/>
        <v>0</v>
      </c>
      <c r="Q29" s="32">
        <f t="shared" si="13"/>
        <v>0</v>
      </c>
      <c r="R29" s="32">
        <f>SUM(F29:Q29)</f>
        <v>0</v>
      </c>
    </row>
    <row r="30" spans="2:20" x14ac:dyDescent="0.25">
      <c r="B30" s="11" t="s">
        <v>94</v>
      </c>
      <c r="E30" s="6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spans="2:20" x14ac:dyDescent="0.25">
      <c r="E31" s="6"/>
      <c r="F31" s="41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1"/>
    </row>
    <row r="32" spans="2:20" x14ac:dyDescent="0.25">
      <c r="E32" s="6"/>
      <c r="F32" s="41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1"/>
    </row>
    <row r="33" spans="2:18" x14ac:dyDescent="0.25">
      <c r="E33" s="6"/>
      <c r="F33" s="41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1"/>
    </row>
    <row r="34" spans="2:18" x14ac:dyDescent="0.25">
      <c r="B34" s="43"/>
      <c r="C34" s="43"/>
      <c r="D34" s="43"/>
      <c r="E34" s="44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</row>
    <row r="37" spans="2:18" x14ac:dyDescent="0.25">
      <c r="E37" s="7"/>
    </row>
  </sheetData>
  <sheetProtection formatColumns="0" insertRows="0" deleteColumns="0" deleteRows="0"/>
  <mergeCells count="4">
    <mergeCell ref="B2:C2"/>
    <mergeCell ref="R2:R3"/>
    <mergeCell ref="B11:C11"/>
    <mergeCell ref="B16:C16"/>
  </mergeCells>
  <dataValidations count="1">
    <dataValidation type="whole" allowBlank="1" showInputMessage="1" showErrorMessage="1" sqref="C1" xr:uid="{FD774DE7-30C9-416A-8E10-CF4E49EC603A}">
      <formula1>2001</formula1>
      <formula2>2023</formula2>
    </dataValidation>
  </dataValidations>
  <pageMargins left="0.22" right="0.12" top="1.02" bottom="0.51" header="0.24" footer="0.3"/>
  <pageSetup paperSize="9" scale="58" fitToWidth="6" orientation="landscape" horizontalDpi="300" r:id="rId1"/>
  <headerFooter alignWithMargins="0">
    <oddFooter>&amp;L&amp;F&amp;C&amp;A&amp;R&amp;P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FF633B-FAA9-4431-9E4E-AE8F5140BCF8}">
          <x14:formula1>
            <xm:f>Apuração!$D$56:$D$57</xm:f>
          </x14:formula1>
          <xm:sqref>D21:D23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DC03-7ADD-46F7-AE47-CB4FB90A414C}">
  <dimension ref="B1:V63"/>
  <sheetViews>
    <sheetView showGridLines="0" zoomScale="110" zoomScaleNormal="11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3" max="3" width="12.42578125" hidden="1" customWidth="1"/>
    <col min="4" max="15" width="10.85546875" customWidth="1"/>
    <col min="22" max="22" width="0" hidden="1" customWidth="1"/>
  </cols>
  <sheetData>
    <row r="1" spans="2:22" ht="8.25" customHeight="1" x14ac:dyDescent="0.25"/>
    <row r="2" spans="2:22" ht="21" x14ac:dyDescent="0.35">
      <c r="B2" s="150" t="s">
        <v>96</v>
      </c>
      <c r="C2" s="150"/>
      <c r="D2" s="171">
        <f>Apuração!C1</f>
        <v>2022</v>
      </c>
      <c r="V2">
        <v>2022</v>
      </c>
    </row>
    <row r="3" spans="2:22" ht="16.5" thickBot="1" x14ac:dyDescent="0.3">
      <c r="B3" s="148" t="s">
        <v>97</v>
      </c>
      <c r="D3" s="149"/>
      <c r="V3">
        <v>2023</v>
      </c>
    </row>
    <row r="4" spans="2:22" x14ac:dyDescent="0.25">
      <c r="B4" s="146" t="s">
        <v>98</v>
      </c>
      <c r="C4" s="145">
        <f>EOMONTH(D4,-1)</f>
        <v>44561</v>
      </c>
      <c r="D4" s="144">
        <f>DATE($D$2,1,1)</f>
        <v>44562</v>
      </c>
      <c r="E4" s="144">
        <f>DATE($D$2,2,1)</f>
        <v>44593</v>
      </c>
      <c r="F4" s="144">
        <f>DATE($D$2,3,1)</f>
        <v>44621</v>
      </c>
      <c r="G4" s="144">
        <f>DATE($D$2,4,1)</f>
        <v>44652</v>
      </c>
      <c r="H4" s="144">
        <f>DATE($D$2,5,1)</f>
        <v>44682</v>
      </c>
      <c r="I4" s="144">
        <f>DATE($D$2,6,1)</f>
        <v>44713</v>
      </c>
      <c r="J4" s="144">
        <f>DATE($D$2,7,1)</f>
        <v>44743</v>
      </c>
      <c r="K4" s="144">
        <f>DATE($D$2,8,1)</f>
        <v>44774</v>
      </c>
      <c r="L4" s="144">
        <f>DATE($D$2,9,1)</f>
        <v>44805</v>
      </c>
      <c r="M4" s="144">
        <f>DATE($D$2,10,1)</f>
        <v>44835</v>
      </c>
      <c r="N4" s="144">
        <f>DATE($D$2,11,1)</f>
        <v>44866</v>
      </c>
      <c r="O4" s="143">
        <f>DATE($D$2,12,1)</f>
        <v>44896</v>
      </c>
      <c r="V4">
        <v>2024</v>
      </c>
    </row>
    <row r="5" spans="2:22" x14ac:dyDescent="0.25">
      <c r="B5" s="142" t="str">
        <f>'Alíquotas ICMS'!B5</f>
        <v>AC</v>
      </c>
      <c r="C5" s="141">
        <f>IF('Alíquotas ICMS'!$K5&lt;=EOMONTH(C$4,0),'Alíquotas ICMS'!$L5,IF('Alíquotas ICMS'!$I5&lt;=EOMONTH(C$4,0),'Alíquotas ICMS'!$J5,IF('Alíquotas ICMS'!$G5&lt;=EOMONTH(C$4,0),'Alíquotas ICMS'!$H5,'Alíquotas ICMS'!$F5)))</f>
        <v>0.25</v>
      </c>
      <c r="D5" s="140">
        <f>IF('Alíquotas ICMS'!$K5&lt;=EOMONTH(D$4,0),'Alíquotas ICMS'!$L5,IF('Alíquotas ICMS'!$I5&lt;=EOMONTH(D$4,0),'Alíquotas ICMS'!$J5,IF('Alíquotas ICMS'!$G5&lt;=EOMONTH(D$4,0),'Alíquotas ICMS'!$H5,'Alíquotas ICMS'!$F5)))</f>
        <v>0.25</v>
      </c>
      <c r="E5" s="140">
        <f>IF('Alíquotas ICMS'!$K5&lt;=EOMONTH(E$4,0),'Alíquotas ICMS'!$L5,IF('Alíquotas ICMS'!$I5&lt;=EOMONTH(E$4,0),'Alíquotas ICMS'!$J5,IF('Alíquotas ICMS'!$G5&lt;=EOMONTH(E$4,0),'Alíquotas ICMS'!$H5,'Alíquotas ICMS'!$F5)))</f>
        <v>0.25</v>
      </c>
      <c r="F5" s="140">
        <f>IF('Alíquotas ICMS'!$K5&lt;=EOMONTH(F$4,0),'Alíquotas ICMS'!$L5,IF('Alíquotas ICMS'!$I5&lt;=EOMONTH(F$4,0),'Alíquotas ICMS'!$J5,IF('Alíquotas ICMS'!$G5&lt;=EOMONTH(F$4,0),'Alíquotas ICMS'!$H5,'Alíquotas ICMS'!$F5)))</f>
        <v>0.25</v>
      </c>
      <c r="G5" s="140">
        <f>IF('Alíquotas ICMS'!$K5&lt;=EOMONTH(G$4,0),'Alíquotas ICMS'!$L5,IF('Alíquotas ICMS'!$I5&lt;=EOMONTH(G$4,0),'Alíquotas ICMS'!$J5,IF('Alíquotas ICMS'!$G5&lt;=EOMONTH(G$4,0),'Alíquotas ICMS'!$H5,'Alíquotas ICMS'!$F5)))</f>
        <v>0.25</v>
      </c>
      <c r="H5" s="140">
        <f>IF('Alíquotas ICMS'!$K5&lt;=EOMONTH(H$4,0),'Alíquotas ICMS'!$L5,IF('Alíquotas ICMS'!$I5&lt;=EOMONTH(H$4,0),'Alíquotas ICMS'!$J5,IF('Alíquotas ICMS'!$G5&lt;=EOMONTH(H$4,0),'Alíquotas ICMS'!$H5,'Alíquotas ICMS'!$F5)))</f>
        <v>0.25</v>
      </c>
      <c r="I5" s="140">
        <f>IF('Alíquotas ICMS'!$K5&lt;=EOMONTH(I$4,0),'Alíquotas ICMS'!$L5,IF('Alíquotas ICMS'!$I5&lt;=EOMONTH(I$4,0),'Alíquotas ICMS'!$J5,IF('Alíquotas ICMS'!$G5&lt;=EOMONTH(I$4,0),'Alíquotas ICMS'!$H5,'Alíquotas ICMS'!$F5)))</f>
        <v>0.25</v>
      </c>
      <c r="J5" s="140">
        <f>IF('Alíquotas ICMS'!$K5&lt;=EOMONTH(J$4,0),'Alíquotas ICMS'!$L5,IF('Alíquotas ICMS'!$I5&lt;=EOMONTH(J$4,0),'Alíquotas ICMS'!$J5,IF('Alíquotas ICMS'!$G5&lt;=EOMONTH(J$4,0),'Alíquotas ICMS'!$H5,'Alíquotas ICMS'!$F5)))</f>
        <v>0.17</v>
      </c>
      <c r="K5" s="140">
        <f>IF('Alíquotas ICMS'!$K5&lt;=EOMONTH(K$4,0),'Alíquotas ICMS'!$L5,IF('Alíquotas ICMS'!$I5&lt;=EOMONTH(K$4,0),'Alíquotas ICMS'!$J5,IF('Alíquotas ICMS'!$G5&lt;=EOMONTH(K$4,0),'Alíquotas ICMS'!$H5,'Alíquotas ICMS'!$F5)))</f>
        <v>0.17</v>
      </c>
      <c r="L5" s="140">
        <f>IF('Alíquotas ICMS'!$K5&lt;=EOMONTH(L$4,0),'Alíquotas ICMS'!$L5,IF('Alíquotas ICMS'!$I5&lt;=EOMONTH(L$4,0),'Alíquotas ICMS'!$J5,IF('Alíquotas ICMS'!$G5&lt;=EOMONTH(L$4,0),'Alíquotas ICMS'!$H5,'Alíquotas ICMS'!$F5)))</f>
        <v>0.17</v>
      </c>
      <c r="M5" s="140">
        <f>IF('Alíquotas ICMS'!$K5&lt;=EOMONTH(M$4,0),'Alíquotas ICMS'!$L5,IF('Alíquotas ICMS'!$I5&lt;=EOMONTH(M$4,0),'Alíquotas ICMS'!$J5,IF('Alíquotas ICMS'!$G5&lt;=EOMONTH(M$4,0),'Alíquotas ICMS'!$H5,'Alíquotas ICMS'!$F5)))</f>
        <v>0.17</v>
      </c>
      <c r="N5" s="140">
        <f>IF('Alíquotas ICMS'!$K5&lt;=EOMONTH(N$4,0),'Alíquotas ICMS'!$L5,IF('Alíquotas ICMS'!$I5&lt;=EOMONTH(N$4,0),'Alíquotas ICMS'!$J5,IF('Alíquotas ICMS'!$G5&lt;=EOMONTH(N$4,0),'Alíquotas ICMS'!$H5,'Alíquotas ICMS'!$F5)))</f>
        <v>0.17</v>
      </c>
      <c r="O5" s="139">
        <f>IF('Alíquotas ICMS'!$K5&lt;=EOMONTH(O$4,0),'Alíquotas ICMS'!$L5,IF('Alíquotas ICMS'!$I5&lt;=EOMONTH(O$4,0),'Alíquotas ICMS'!$J5,IF('Alíquotas ICMS'!$G5&lt;=EOMONTH(O$4,0),'Alíquotas ICMS'!$H5,'Alíquotas ICMS'!$F5)))</f>
        <v>0.17</v>
      </c>
    </row>
    <row r="6" spans="2:22" x14ac:dyDescent="0.25">
      <c r="B6" s="138" t="str">
        <f>'Alíquotas ICMS'!B6</f>
        <v>AL</v>
      </c>
      <c r="C6" s="137">
        <f>IF('Alíquotas ICMS'!$K6&lt;=EOMONTH(C$4,0),'Alíquotas ICMS'!$L6,IF('Alíquotas ICMS'!$I6&lt;=EOMONTH(C$4,0),'Alíquotas ICMS'!$J6,IF('Alíquotas ICMS'!$G6&lt;=EOMONTH(C$4,0),'Alíquotas ICMS'!$H6,'Alíquotas ICMS'!$F6)))</f>
        <v>0.3</v>
      </c>
      <c r="D6" s="136">
        <f>IF('Alíquotas ICMS'!$K6&lt;=EOMONTH(D$4,0),'Alíquotas ICMS'!$L6,IF('Alíquotas ICMS'!$I6&lt;=EOMONTH(D$4,0),'Alíquotas ICMS'!$J6,IF('Alíquotas ICMS'!$G6&lt;=EOMONTH(D$4,0),'Alíquotas ICMS'!$H6,'Alíquotas ICMS'!$F6)))</f>
        <v>0.3</v>
      </c>
      <c r="E6" s="136">
        <f>IF('Alíquotas ICMS'!$K6&lt;=EOMONTH(E$4,0),'Alíquotas ICMS'!$L6,IF('Alíquotas ICMS'!$I6&lt;=EOMONTH(E$4,0),'Alíquotas ICMS'!$J6,IF('Alíquotas ICMS'!$G6&lt;=EOMONTH(E$4,0),'Alíquotas ICMS'!$H6,'Alíquotas ICMS'!$F6)))</f>
        <v>0.3</v>
      </c>
      <c r="F6" s="136">
        <f>IF('Alíquotas ICMS'!$K6&lt;=EOMONTH(F$4,0),'Alíquotas ICMS'!$L6,IF('Alíquotas ICMS'!$I6&lt;=EOMONTH(F$4,0),'Alíquotas ICMS'!$J6,IF('Alíquotas ICMS'!$G6&lt;=EOMONTH(F$4,0),'Alíquotas ICMS'!$H6,'Alíquotas ICMS'!$F6)))</f>
        <v>0.3</v>
      </c>
      <c r="G6" s="136">
        <f>IF('Alíquotas ICMS'!$K6&lt;=EOMONTH(G$4,0),'Alíquotas ICMS'!$L6,IF('Alíquotas ICMS'!$I6&lt;=EOMONTH(G$4,0),'Alíquotas ICMS'!$J6,IF('Alíquotas ICMS'!$G6&lt;=EOMONTH(G$4,0),'Alíquotas ICMS'!$H6,'Alíquotas ICMS'!$F6)))</f>
        <v>0.3</v>
      </c>
      <c r="H6" s="136">
        <f>IF('Alíquotas ICMS'!$K6&lt;=EOMONTH(H$4,0),'Alíquotas ICMS'!$L6,IF('Alíquotas ICMS'!$I6&lt;=EOMONTH(H$4,0),'Alíquotas ICMS'!$J6,IF('Alíquotas ICMS'!$G6&lt;=EOMONTH(H$4,0),'Alíquotas ICMS'!$H6,'Alíquotas ICMS'!$F6)))</f>
        <v>0.3</v>
      </c>
      <c r="I6" s="136">
        <f>IF('Alíquotas ICMS'!$K6&lt;=EOMONTH(I$4,0),'Alíquotas ICMS'!$L6,IF('Alíquotas ICMS'!$I6&lt;=EOMONTH(I$4,0),'Alíquotas ICMS'!$J6,IF('Alíquotas ICMS'!$G6&lt;=EOMONTH(I$4,0),'Alíquotas ICMS'!$H6,'Alíquotas ICMS'!$F6)))</f>
        <v>0.3</v>
      </c>
      <c r="J6" s="136">
        <f>IF('Alíquotas ICMS'!$K6&lt;=EOMONTH(J$4,0),'Alíquotas ICMS'!$L6,IF('Alíquotas ICMS'!$I6&lt;=EOMONTH(J$4,0),'Alíquotas ICMS'!$J6,IF('Alíquotas ICMS'!$G6&lt;=EOMONTH(J$4,0),'Alíquotas ICMS'!$H6,'Alíquotas ICMS'!$F6)))</f>
        <v>0.19</v>
      </c>
      <c r="K6" s="136">
        <f>IF('Alíquotas ICMS'!$K6&lt;=EOMONTH(K$4,0),'Alíquotas ICMS'!$L6,IF('Alíquotas ICMS'!$I6&lt;=EOMONTH(K$4,0),'Alíquotas ICMS'!$J6,IF('Alíquotas ICMS'!$G6&lt;=EOMONTH(K$4,0),'Alíquotas ICMS'!$H6,'Alíquotas ICMS'!$F6)))</f>
        <v>0.19</v>
      </c>
      <c r="L6" s="136">
        <f>IF('Alíquotas ICMS'!$K6&lt;=EOMONTH(L$4,0),'Alíquotas ICMS'!$L6,IF('Alíquotas ICMS'!$I6&lt;=EOMONTH(L$4,0),'Alíquotas ICMS'!$J6,IF('Alíquotas ICMS'!$G6&lt;=EOMONTH(L$4,0),'Alíquotas ICMS'!$H6,'Alíquotas ICMS'!$F6)))</f>
        <v>0.19</v>
      </c>
      <c r="M6" s="136">
        <f>IF('Alíquotas ICMS'!$K6&lt;=EOMONTH(M$4,0),'Alíquotas ICMS'!$L6,IF('Alíquotas ICMS'!$I6&lt;=EOMONTH(M$4,0),'Alíquotas ICMS'!$J6,IF('Alíquotas ICMS'!$G6&lt;=EOMONTH(M$4,0),'Alíquotas ICMS'!$H6,'Alíquotas ICMS'!$F6)))</f>
        <v>0.19</v>
      </c>
      <c r="N6" s="136">
        <f>IF('Alíquotas ICMS'!$K6&lt;=EOMONTH(N$4,0),'Alíquotas ICMS'!$L6,IF('Alíquotas ICMS'!$I6&lt;=EOMONTH(N$4,0),'Alíquotas ICMS'!$J6,IF('Alíquotas ICMS'!$G6&lt;=EOMONTH(N$4,0),'Alíquotas ICMS'!$H6,'Alíquotas ICMS'!$F6)))</f>
        <v>0.19</v>
      </c>
      <c r="O6" s="135">
        <f>IF('Alíquotas ICMS'!$K6&lt;=EOMONTH(O$4,0),'Alíquotas ICMS'!$L6,IF('Alíquotas ICMS'!$I6&lt;=EOMONTH(O$4,0),'Alíquotas ICMS'!$J6,IF('Alíquotas ICMS'!$G6&lt;=EOMONTH(O$4,0),'Alíquotas ICMS'!$H6,'Alíquotas ICMS'!$F6)))</f>
        <v>0.19</v>
      </c>
    </row>
    <row r="7" spans="2:22" x14ac:dyDescent="0.25">
      <c r="B7" s="142" t="str">
        <f>'Alíquotas ICMS'!B7</f>
        <v>AM</v>
      </c>
      <c r="C7" s="141">
        <f>IF('Alíquotas ICMS'!$K7&lt;=EOMONTH(C$4,0),'Alíquotas ICMS'!$L7,IF('Alíquotas ICMS'!$I7&lt;=EOMONTH(C$4,0),'Alíquotas ICMS'!$J7,IF('Alíquotas ICMS'!$G7&lt;=EOMONTH(C$4,0),'Alíquotas ICMS'!$H7,'Alíquotas ICMS'!$F7)))</f>
        <v>0.3</v>
      </c>
      <c r="D7" s="140">
        <f>IF('Alíquotas ICMS'!$K7&lt;=EOMONTH(D$4,0),'Alíquotas ICMS'!$L7,IF('Alíquotas ICMS'!$I7&lt;=EOMONTH(D$4,0),'Alíquotas ICMS'!$J7,IF('Alíquotas ICMS'!$G7&lt;=EOMONTH(D$4,0),'Alíquotas ICMS'!$H7,'Alíquotas ICMS'!$F7)))</f>
        <v>0.3</v>
      </c>
      <c r="E7" s="140">
        <f>IF('Alíquotas ICMS'!$K7&lt;=EOMONTH(E$4,0),'Alíquotas ICMS'!$L7,IF('Alíquotas ICMS'!$I7&lt;=EOMONTH(E$4,0),'Alíquotas ICMS'!$J7,IF('Alíquotas ICMS'!$G7&lt;=EOMONTH(E$4,0),'Alíquotas ICMS'!$H7,'Alíquotas ICMS'!$F7)))</f>
        <v>0.3</v>
      </c>
      <c r="F7" s="140">
        <f>IF('Alíquotas ICMS'!$K7&lt;=EOMONTH(F$4,0),'Alíquotas ICMS'!$L7,IF('Alíquotas ICMS'!$I7&lt;=EOMONTH(F$4,0),'Alíquotas ICMS'!$J7,IF('Alíquotas ICMS'!$G7&lt;=EOMONTH(F$4,0),'Alíquotas ICMS'!$H7,'Alíquotas ICMS'!$F7)))</f>
        <v>0.3</v>
      </c>
      <c r="G7" s="140">
        <f>IF('Alíquotas ICMS'!$K7&lt;=EOMONTH(G$4,0),'Alíquotas ICMS'!$L7,IF('Alíquotas ICMS'!$I7&lt;=EOMONTH(G$4,0),'Alíquotas ICMS'!$J7,IF('Alíquotas ICMS'!$G7&lt;=EOMONTH(G$4,0),'Alíquotas ICMS'!$H7,'Alíquotas ICMS'!$F7)))</f>
        <v>0.3</v>
      </c>
      <c r="H7" s="140">
        <f>IF('Alíquotas ICMS'!$K7&lt;=EOMONTH(H$4,0),'Alíquotas ICMS'!$L7,IF('Alíquotas ICMS'!$I7&lt;=EOMONTH(H$4,0),'Alíquotas ICMS'!$J7,IF('Alíquotas ICMS'!$G7&lt;=EOMONTH(H$4,0),'Alíquotas ICMS'!$H7,'Alíquotas ICMS'!$F7)))</f>
        <v>0.3</v>
      </c>
      <c r="I7" s="140">
        <f>IF('Alíquotas ICMS'!$K7&lt;=EOMONTH(I$4,0),'Alíquotas ICMS'!$L7,IF('Alíquotas ICMS'!$I7&lt;=EOMONTH(I$4,0),'Alíquotas ICMS'!$J7,IF('Alíquotas ICMS'!$G7&lt;=EOMONTH(I$4,0),'Alíquotas ICMS'!$H7,'Alíquotas ICMS'!$F7)))</f>
        <v>0.3</v>
      </c>
      <c r="J7" s="140">
        <f>IF('Alíquotas ICMS'!$K7&lt;=EOMONTH(J$4,0),'Alíquotas ICMS'!$L7,IF('Alíquotas ICMS'!$I7&lt;=EOMONTH(J$4,0),'Alíquotas ICMS'!$J7,IF('Alíquotas ICMS'!$G7&lt;=EOMONTH(J$4,0),'Alíquotas ICMS'!$H7,'Alíquotas ICMS'!$F7)))</f>
        <v>0.18</v>
      </c>
      <c r="K7" s="140">
        <f>IF('Alíquotas ICMS'!$K7&lt;=EOMONTH(K$4,0),'Alíquotas ICMS'!$L7,IF('Alíquotas ICMS'!$I7&lt;=EOMONTH(K$4,0),'Alíquotas ICMS'!$J7,IF('Alíquotas ICMS'!$G7&lt;=EOMONTH(K$4,0),'Alíquotas ICMS'!$H7,'Alíquotas ICMS'!$F7)))</f>
        <v>0.18</v>
      </c>
      <c r="L7" s="140">
        <f>IF('Alíquotas ICMS'!$K7&lt;=EOMONTH(L$4,0),'Alíquotas ICMS'!$L7,IF('Alíquotas ICMS'!$I7&lt;=EOMONTH(L$4,0),'Alíquotas ICMS'!$J7,IF('Alíquotas ICMS'!$G7&lt;=EOMONTH(L$4,0),'Alíquotas ICMS'!$H7,'Alíquotas ICMS'!$F7)))</f>
        <v>0.18</v>
      </c>
      <c r="M7" s="140">
        <f>IF('Alíquotas ICMS'!$K7&lt;=EOMONTH(M$4,0),'Alíquotas ICMS'!$L7,IF('Alíquotas ICMS'!$I7&lt;=EOMONTH(M$4,0),'Alíquotas ICMS'!$J7,IF('Alíquotas ICMS'!$G7&lt;=EOMONTH(M$4,0),'Alíquotas ICMS'!$H7,'Alíquotas ICMS'!$F7)))</f>
        <v>0.18</v>
      </c>
      <c r="N7" s="140">
        <f>IF('Alíquotas ICMS'!$K7&lt;=EOMONTH(N$4,0),'Alíquotas ICMS'!$L7,IF('Alíquotas ICMS'!$I7&lt;=EOMONTH(N$4,0),'Alíquotas ICMS'!$J7,IF('Alíquotas ICMS'!$G7&lt;=EOMONTH(N$4,0),'Alíquotas ICMS'!$H7,'Alíquotas ICMS'!$F7)))</f>
        <v>0.18</v>
      </c>
      <c r="O7" s="139">
        <f>IF('Alíquotas ICMS'!$K7&lt;=EOMONTH(O$4,0),'Alíquotas ICMS'!$L7,IF('Alíquotas ICMS'!$I7&lt;=EOMONTH(O$4,0),'Alíquotas ICMS'!$J7,IF('Alíquotas ICMS'!$G7&lt;=EOMONTH(O$4,0),'Alíquotas ICMS'!$H7,'Alíquotas ICMS'!$F7)))</f>
        <v>0.18</v>
      </c>
    </row>
    <row r="8" spans="2:22" x14ac:dyDescent="0.25">
      <c r="B8" s="138" t="str">
        <f>'Alíquotas ICMS'!B8</f>
        <v>AP</v>
      </c>
      <c r="C8" s="137">
        <f>IF('Alíquotas ICMS'!$K8&lt;=EOMONTH(C$4,0),'Alíquotas ICMS'!$L8,IF('Alíquotas ICMS'!$I8&lt;=EOMONTH(C$4,0),'Alíquotas ICMS'!$J8,IF('Alíquotas ICMS'!$G8&lt;=EOMONTH(C$4,0),'Alíquotas ICMS'!$H8,'Alíquotas ICMS'!$F8)))</f>
        <v>0.28999999999999998</v>
      </c>
      <c r="D8" s="136">
        <f>IF('Alíquotas ICMS'!$K8&lt;=EOMONTH(D$4,0),'Alíquotas ICMS'!$L8,IF('Alíquotas ICMS'!$I8&lt;=EOMONTH(D$4,0),'Alíquotas ICMS'!$J8,IF('Alíquotas ICMS'!$G8&lt;=EOMONTH(D$4,0),'Alíquotas ICMS'!$H8,'Alíquotas ICMS'!$F8)))</f>
        <v>0.28999999999999998</v>
      </c>
      <c r="E8" s="136">
        <f>IF('Alíquotas ICMS'!$K8&lt;=EOMONTH(E$4,0),'Alíquotas ICMS'!$L8,IF('Alíquotas ICMS'!$I8&lt;=EOMONTH(E$4,0),'Alíquotas ICMS'!$J8,IF('Alíquotas ICMS'!$G8&lt;=EOMONTH(E$4,0),'Alíquotas ICMS'!$H8,'Alíquotas ICMS'!$F8)))</f>
        <v>0.28999999999999998</v>
      </c>
      <c r="F8" s="136">
        <f>IF('Alíquotas ICMS'!$K8&lt;=EOMONTH(F$4,0),'Alíquotas ICMS'!$L8,IF('Alíquotas ICMS'!$I8&lt;=EOMONTH(F$4,0),'Alíquotas ICMS'!$J8,IF('Alíquotas ICMS'!$G8&lt;=EOMONTH(F$4,0),'Alíquotas ICMS'!$H8,'Alíquotas ICMS'!$F8)))</f>
        <v>0.28999999999999998</v>
      </c>
      <c r="G8" s="136">
        <f>IF('Alíquotas ICMS'!$K8&lt;=EOMONTH(G$4,0),'Alíquotas ICMS'!$L8,IF('Alíquotas ICMS'!$I8&lt;=EOMONTH(G$4,0),'Alíquotas ICMS'!$J8,IF('Alíquotas ICMS'!$G8&lt;=EOMONTH(G$4,0),'Alíquotas ICMS'!$H8,'Alíquotas ICMS'!$F8)))</f>
        <v>0.28999999999999998</v>
      </c>
      <c r="H8" s="136">
        <f>IF('Alíquotas ICMS'!$K8&lt;=EOMONTH(H$4,0),'Alíquotas ICMS'!$L8,IF('Alíquotas ICMS'!$I8&lt;=EOMONTH(H$4,0),'Alíquotas ICMS'!$J8,IF('Alíquotas ICMS'!$G8&lt;=EOMONTH(H$4,0),'Alíquotas ICMS'!$H8,'Alíquotas ICMS'!$F8)))</f>
        <v>0.28999999999999998</v>
      </c>
      <c r="I8" s="136">
        <f>IF('Alíquotas ICMS'!$K8&lt;=EOMONTH(I$4,0),'Alíquotas ICMS'!$L8,IF('Alíquotas ICMS'!$I8&lt;=EOMONTH(I$4,0),'Alíquotas ICMS'!$J8,IF('Alíquotas ICMS'!$G8&lt;=EOMONTH(I$4,0),'Alíquotas ICMS'!$H8,'Alíquotas ICMS'!$F8)))</f>
        <v>0.28999999999999998</v>
      </c>
      <c r="J8" s="136">
        <f>IF('Alíquotas ICMS'!$K8&lt;=EOMONTH(J$4,0),'Alíquotas ICMS'!$L8,IF('Alíquotas ICMS'!$I8&lt;=EOMONTH(J$4,0),'Alíquotas ICMS'!$J8,IF('Alíquotas ICMS'!$G8&lt;=EOMONTH(J$4,0),'Alíquotas ICMS'!$H8,'Alíquotas ICMS'!$F8)))</f>
        <v>0.28999999999999998</v>
      </c>
      <c r="K8" s="136">
        <f>IF('Alíquotas ICMS'!$K8&lt;=EOMONTH(K$4,0),'Alíquotas ICMS'!$L8,IF('Alíquotas ICMS'!$I8&lt;=EOMONTH(K$4,0),'Alíquotas ICMS'!$J8,IF('Alíquotas ICMS'!$G8&lt;=EOMONTH(K$4,0),'Alíquotas ICMS'!$H8,'Alíquotas ICMS'!$F8)))</f>
        <v>0.28999999999999998</v>
      </c>
      <c r="L8" s="136">
        <f>IF('Alíquotas ICMS'!$K8&lt;=EOMONTH(L$4,0),'Alíquotas ICMS'!$L8,IF('Alíquotas ICMS'!$I8&lt;=EOMONTH(L$4,0),'Alíquotas ICMS'!$J8,IF('Alíquotas ICMS'!$G8&lt;=EOMONTH(L$4,0),'Alíquotas ICMS'!$H8,'Alíquotas ICMS'!$F8)))</f>
        <v>0.28999999999999998</v>
      </c>
      <c r="M8" s="136">
        <f>IF('Alíquotas ICMS'!$K8&lt;=EOMONTH(M$4,0),'Alíquotas ICMS'!$L8,IF('Alíquotas ICMS'!$I8&lt;=EOMONTH(M$4,0),'Alíquotas ICMS'!$J8,IF('Alíquotas ICMS'!$G8&lt;=EOMONTH(M$4,0),'Alíquotas ICMS'!$H8,'Alíquotas ICMS'!$F8)))</f>
        <v>0.28999999999999998</v>
      </c>
      <c r="N8" s="136">
        <f>IF('Alíquotas ICMS'!$K8&lt;=EOMONTH(N$4,0),'Alíquotas ICMS'!$L8,IF('Alíquotas ICMS'!$I8&lt;=EOMONTH(N$4,0),'Alíquotas ICMS'!$J8,IF('Alíquotas ICMS'!$G8&lt;=EOMONTH(N$4,0),'Alíquotas ICMS'!$H8,'Alíquotas ICMS'!$F8)))</f>
        <v>0.28999999999999998</v>
      </c>
      <c r="O8" s="135">
        <f>IF('Alíquotas ICMS'!$K8&lt;=EOMONTH(O$4,0),'Alíquotas ICMS'!$L8,IF('Alíquotas ICMS'!$I8&lt;=EOMONTH(O$4,0),'Alíquotas ICMS'!$J8,IF('Alíquotas ICMS'!$G8&lt;=EOMONTH(O$4,0),'Alíquotas ICMS'!$H8,'Alíquotas ICMS'!$F8)))</f>
        <v>0.28999999999999998</v>
      </c>
    </row>
    <row r="9" spans="2:22" x14ac:dyDescent="0.25">
      <c r="B9" s="142" t="str">
        <f>'Alíquotas ICMS'!B9</f>
        <v>BA</v>
      </c>
      <c r="C9" s="141">
        <f>IF('Alíquotas ICMS'!$K9&lt;=EOMONTH(C$4,0),'Alíquotas ICMS'!$L9,IF('Alíquotas ICMS'!$I9&lt;=EOMONTH(C$4,0),'Alíquotas ICMS'!$J9,IF('Alíquotas ICMS'!$G9&lt;=EOMONTH(C$4,0),'Alíquotas ICMS'!$H9,'Alíquotas ICMS'!$F9)))</f>
        <v>0.28000000000000003</v>
      </c>
      <c r="D9" s="140">
        <f>IF('Alíquotas ICMS'!$K9&lt;=EOMONTH(D$4,0),'Alíquotas ICMS'!$L9,IF('Alíquotas ICMS'!$I9&lt;=EOMONTH(D$4,0),'Alíquotas ICMS'!$J9,IF('Alíquotas ICMS'!$G9&lt;=EOMONTH(D$4,0),'Alíquotas ICMS'!$H9,'Alíquotas ICMS'!$F9)))</f>
        <v>0.28000000000000003</v>
      </c>
      <c r="E9" s="140">
        <f>IF('Alíquotas ICMS'!$K9&lt;=EOMONTH(E$4,0),'Alíquotas ICMS'!$L9,IF('Alíquotas ICMS'!$I9&lt;=EOMONTH(E$4,0),'Alíquotas ICMS'!$J9,IF('Alíquotas ICMS'!$G9&lt;=EOMONTH(E$4,0),'Alíquotas ICMS'!$H9,'Alíquotas ICMS'!$F9)))</f>
        <v>0.28000000000000003</v>
      </c>
      <c r="F9" s="140">
        <f>IF('Alíquotas ICMS'!$K9&lt;=EOMONTH(F$4,0),'Alíquotas ICMS'!$L9,IF('Alíquotas ICMS'!$I9&lt;=EOMONTH(F$4,0),'Alíquotas ICMS'!$J9,IF('Alíquotas ICMS'!$G9&lt;=EOMONTH(F$4,0),'Alíquotas ICMS'!$H9,'Alíquotas ICMS'!$F9)))</f>
        <v>0.28000000000000003</v>
      </c>
      <c r="G9" s="140">
        <f>IF('Alíquotas ICMS'!$K9&lt;=EOMONTH(G$4,0),'Alíquotas ICMS'!$L9,IF('Alíquotas ICMS'!$I9&lt;=EOMONTH(G$4,0),'Alíquotas ICMS'!$J9,IF('Alíquotas ICMS'!$G9&lt;=EOMONTH(G$4,0),'Alíquotas ICMS'!$H9,'Alíquotas ICMS'!$F9)))</f>
        <v>0.28000000000000003</v>
      </c>
      <c r="H9" s="140">
        <f>IF('Alíquotas ICMS'!$K9&lt;=EOMONTH(H$4,0),'Alíquotas ICMS'!$L9,IF('Alíquotas ICMS'!$I9&lt;=EOMONTH(H$4,0),'Alíquotas ICMS'!$J9,IF('Alíquotas ICMS'!$G9&lt;=EOMONTH(H$4,0),'Alíquotas ICMS'!$H9,'Alíquotas ICMS'!$F9)))</f>
        <v>0.28000000000000003</v>
      </c>
      <c r="I9" s="140">
        <f>IF('Alíquotas ICMS'!$K9&lt;=EOMONTH(I$4,0),'Alíquotas ICMS'!$L9,IF('Alíquotas ICMS'!$I9&lt;=EOMONTH(I$4,0),'Alíquotas ICMS'!$J9,IF('Alíquotas ICMS'!$G9&lt;=EOMONTH(I$4,0),'Alíquotas ICMS'!$H9,'Alíquotas ICMS'!$F9)))</f>
        <v>0.18</v>
      </c>
      <c r="J9" s="140">
        <f>IF('Alíquotas ICMS'!$K9&lt;=EOMONTH(J$4,0),'Alíquotas ICMS'!$L9,IF('Alíquotas ICMS'!$I9&lt;=EOMONTH(J$4,0),'Alíquotas ICMS'!$J9,IF('Alíquotas ICMS'!$G9&lt;=EOMONTH(J$4,0),'Alíquotas ICMS'!$H9,'Alíquotas ICMS'!$F9)))</f>
        <v>0.18</v>
      </c>
      <c r="K9" s="140">
        <f>IF('Alíquotas ICMS'!$K9&lt;=EOMONTH(K$4,0),'Alíquotas ICMS'!$L9,IF('Alíquotas ICMS'!$I9&lt;=EOMONTH(K$4,0),'Alíquotas ICMS'!$J9,IF('Alíquotas ICMS'!$G9&lt;=EOMONTH(K$4,0),'Alíquotas ICMS'!$H9,'Alíquotas ICMS'!$F9)))</f>
        <v>0.18</v>
      </c>
      <c r="L9" s="140">
        <f>IF('Alíquotas ICMS'!$K9&lt;=EOMONTH(L$4,0),'Alíquotas ICMS'!$L9,IF('Alíquotas ICMS'!$I9&lt;=EOMONTH(L$4,0),'Alíquotas ICMS'!$J9,IF('Alíquotas ICMS'!$G9&lt;=EOMONTH(L$4,0),'Alíquotas ICMS'!$H9,'Alíquotas ICMS'!$F9)))</f>
        <v>0.18</v>
      </c>
      <c r="M9" s="140">
        <f>IF('Alíquotas ICMS'!$K9&lt;=EOMONTH(M$4,0),'Alíquotas ICMS'!$L9,IF('Alíquotas ICMS'!$I9&lt;=EOMONTH(M$4,0),'Alíquotas ICMS'!$J9,IF('Alíquotas ICMS'!$G9&lt;=EOMONTH(M$4,0),'Alíquotas ICMS'!$H9,'Alíquotas ICMS'!$F9)))</f>
        <v>0.18</v>
      </c>
      <c r="N9" s="140">
        <f>IF('Alíquotas ICMS'!$K9&lt;=EOMONTH(N$4,0),'Alíquotas ICMS'!$L9,IF('Alíquotas ICMS'!$I9&lt;=EOMONTH(N$4,0),'Alíquotas ICMS'!$J9,IF('Alíquotas ICMS'!$G9&lt;=EOMONTH(N$4,0),'Alíquotas ICMS'!$H9,'Alíquotas ICMS'!$F9)))</f>
        <v>0.18</v>
      </c>
      <c r="O9" s="139">
        <f>IF('Alíquotas ICMS'!$K9&lt;=EOMONTH(O$4,0),'Alíquotas ICMS'!$L9,IF('Alíquotas ICMS'!$I9&lt;=EOMONTH(O$4,0),'Alíquotas ICMS'!$J9,IF('Alíquotas ICMS'!$G9&lt;=EOMONTH(O$4,0),'Alíquotas ICMS'!$H9,'Alíquotas ICMS'!$F9)))</f>
        <v>0.18</v>
      </c>
    </row>
    <row r="10" spans="2:22" x14ac:dyDescent="0.25">
      <c r="B10" s="138" t="str">
        <f>'Alíquotas ICMS'!B10</f>
        <v>CE</v>
      </c>
      <c r="C10" s="137">
        <f>IF('Alíquotas ICMS'!$K10&lt;=EOMONTH(C$4,0),'Alíquotas ICMS'!$L10,IF('Alíquotas ICMS'!$I10&lt;=EOMONTH(C$4,0),'Alíquotas ICMS'!$J10,IF('Alíquotas ICMS'!$G10&lt;=EOMONTH(C$4,0),'Alíquotas ICMS'!$H10,'Alíquotas ICMS'!$F10)))</f>
        <v>0.3</v>
      </c>
      <c r="D10" s="136">
        <f>IF('Alíquotas ICMS'!$K10&lt;=EOMONTH(D$4,0),'Alíquotas ICMS'!$L10,IF('Alíquotas ICMS'!$I10&lt;=EOMONTH(D$4,0),'Alíquotas ICMS'!$J10,IF('Alíquotas ICMS'!$G10&lt;=EOMONTH(D$4,0),'Alíquotas ICMS'!$H10,'Alíquotas ICMS'!$F10)))</f>
        <v>0.3</v>
      </c>
      <c r="E10" s="136">
        <f>IF('Alíquotas ICMS'!$K10&lt;=EOMONTH(E$4,0),'Alíquotas ICMS'!$L10,IF('Alíquotas ICMS'!$I10&lt;=EOMONTH(E$4,0),'Alíquotas ICMS'!$J10,IF('Alíquotas ICMS'!$G10&lt;=EOMONTH(E$4,0),'Alíquotas ICMS'!$H10,'Alíquotas ICMS'!$F10)))</f>
        <v>0.3</v>
      </c>
      <c r="F10" s="136">
        <f>IF('Alíquotas ICMS'!$K10&lt;=EOMONTH(F$4,0),'Alíquotas ICMS'!$L10,IF('Alíquotas ICMS'!$I10&lt;=EOMONTH(F$4,0),'Alíquotas ICMS'!$J10,IF('Alíquotas ICMS'!$G10&lt;=EOMONTH(F$4,0),'Alíquotas ICMS'!$H10,'Alíquotas ICMS'!$F10)))</f>
        <v>0.3</v>
      </c>
      <c r="G10" s="136">
        <f>IF('Alíquotas ICMS'!$K10&lt;=EOMONTH(G$4,0),'Alíquotas ICMS'!$L10,IF('Alíquotas ICMS'!$I10&lt;=EOMONTH(G$4,0),'Alíquotas ICMS'!$J10,IF('Alíquotas ICMS'!$G10&lt;=EOMONTH(G$4,0),'Alíquotas ICMS'!$H10,'Alíquotas ICMS'!$F10)))</f>
        <v>0.3</v>
      </c>
      <c r="H10" s="136">
        <f>IF('Alíquotas ICMS'!$K10&lt;=EOMONTH(H$4,0),'Alíquotas ICMS'!$L10,IF('Alíquotas ICMS'!$I10&lt;=EOMONTH(H$4,0),'Alíquotas ICMS'!$J10,IF('Alíquotas ICMS'!$G10&lt;=EOMONTH(H$4,0),'Alíquotas ICMS'!$H10,'Alíquotas ICMS'!$F10)))</f>
        <v>0.3</v>
      </c>
      <c r="I10" s="136">
        <f>IF('Alíquotas ICMS'!$K10&lt;=EOMONTH(I$4,0),'Alíquotas ICMS'!$L10,IF('Alíquotas ICMS'!$I10&lt;=EOMONTH(I$4,0),'Alíquotas ICMS'!$J10,IF('Alíquotas ICMS'!$G10&lt;=EOMONTH(I$4,0),'Alíquotas ICMS'!$H10,'Alíquotas ICMS'!$F10)))</f>
        <v>0.3</v>
      </c>
      <c r="J10" s="136">
        <f>IF('Alíquotas ICMS'!$K10&lt;=EOMONTH(J$4,0),'Alíquotas ICMS'!$L10,IF('Alíquotas ICMS'!$I10&lt;=EOMONTH(J$4,0),'Alíquotas ICMS'!$J10,IF('Alíquotas ICMS'!$G10&lt;=EOMONTH(J$4,0),'Alíquotas ICMS'!$H10,'Alíquotas ICMS'!$F10)))</f>
        <v>0.18</v>
      </c>
      <c r="K10" s="136">
        <f>IF('Alíquotas ICMS'!$K10&lt;=EOMONTH(K$4,0),'Alíquotas ICMS'!$L10,IF('Alíquotas ICMS'!$I10&lt;=EOMONTH(K$4,0),'Alíquotas ICMS'!$J10,IF('Alíquotas ICMS'!$G10&lt;=EOMONTH(K$4,0),'Alíquotas ICMS'!$H10,'Alíquotas ICMS'!$F10)))</f>
        <v>0.18</v>
      </c>
      <c r="L10" s="136">
        <f>IF('Alíquotas ICMS'!$K10&lt;=EOMONTH(L$4,0),'Alíquotas ICMS'!$L10,IF('Alíquotas ICMS'!$I10&lt;=EOMONTH(L$4,0),'Alíquotas ICMS'!$J10,IF('Alíquotas ICMS'!$G10&lt;=EOMONTH(L$4,0),'Alíquotas ICMS'!$H10,'Alíquotas ICMS'!$F10)))</f>
        <v>0.18</v>
      </c>
      <c r="M10" s="136">
        <f>IF('Alíquotas ICMS'!$K10&lt;=EOMONTH(M$4,0),'Alíquotas ICMS'!$L10,IF('Alíquotas ICMS'!$I10&lt;=EOMONTH(M$4,0),'Alíquotas ICMS'!$J10,IF('Alíquotas ICMS'!$G10&lt;=EOMONTH(M$4,0),'Alíquotas ICMS'!$H10,'Alíquotas ICMS'!$F10)))</f>
        <v>0.18</v>
      </c>
      <c r="N10" s="136">
        <f>IF('Alíquotas ICMS'!$K10&lt;=EOMONTH(N$4,0),'Alíquotas ICMS'!$L10,IF('Alíquotas ICMS'!$I10&lt;=EOMONTH(N$4,0),'Alíquotas ICMS'!$J10,IF('Alíquotas ICMS'!$G10&lt;=EOMONTH(N$4,0),'Alíquotas ICMS'!$H10,'Alíquotas ICMS'!$F10)))</f>
        <v>0.18</v>
      </c>
      <c r="O10" s="135">
        <f>IF('Alíquotas ICMS'!$K10&lt;=EOMONTH(O$4,0),'Alíquotas ICMS'!$L10,IF('Alíquotas ICMS'!$I10&lt;=EOMONTH(O$4,0),'Alíquotas ICMS'!$J10,IF('Alíquotas ICMS'!$G10&lt;=EOMONTH(O$4,0),'Alíquotas ICMS'!$H10,'Alíquotas ICMS'!$F10)))</f>
        <v>0.18</v>
      </c>
    </row>
    <row r="11" spans="2:22" x14ac:dyDescent="0.25">
      <c r="B11" s="142" t="str">
        <f>'Alíquotas ICMS'!B11</f>
        <v>DF</v>
      </c>
      <c r="C11" s="141">
        <f>IF('Alíquotas ICMS'!$K11&lt;=EOMONTH(C$4,0),'Alíquotas ICMS'!$L11,IF('Alíquotas ICMS'!$I11&lt;=EOMONTH(C$4,0),'Alíquotas ICMS'!$J11,IF('Alíquotas ICMS'!$G11&lt;=EOMONTH(C$4,0),'Alíquotas ICMS'!$H11,'Alíquotas ICMS'!$F11)))</f>
        <v>0.28000000000000003</v>
      </c>
      <c r="D11" s="140">
        <f>IF('Alíquotas ICMS'!$K11&lt;=EOMONTH(D$4,0),'Alíquotas ICMS'!$L11,IF('Alíquotas ICMS'!$I11&lt;=EOMONTH(D$4,0),'Alíquotas ICMS'!$J11,IF('Alíquotas ICMS'!$G11&lt;=EOMONTH(D$4,0),'Alíquotas ICMS'!$H11,'Alíquotas ICMS'!$F11)))</f>
        <v>0.28000000000000003</v>
      </c>
      <c r="E11" s="140">
        <f>IF('Alíquotas ICMS'!$K11&lt;=EOMONTH(E$4,0),'Alíquotas ICMS'!$L11,IF('Alíquotas ICMS'!$I11&lt;=EOMONTH(E$4,0),'Alíquotas ICMS'!$J11,IF('Alíquotas ICMS'!$G11&lt;=EOMONTH(E$4,0),'Alíquotas ICMS'!$H11,'Alíquotas ICMS'!$F11)))</f>
        <v>0.28000000000000003</v>
      </c>
      <c r="F11" s="140">
        <f>IF('Alíquotas ICMS'!$K11&lt;=EOMONTH(F$4,0),'Alíquotas ICMS'!$L11,IF('Alíquotas ICMS'!$I11&lt;=EOMONTH(F$4,0),'Alíquotas ICMS'!$J11,IF('Alíquotas ICMS'!$G11&lt;=EOMONTH(F$4,0),'Alíquotas ICMS'!$H11,'Alíquotas ICMS'!$F11)))</f>
        <v>0.28000000000000003</v>
      </c>
      <c r="G11" s="140">
        <f>IF('Alíquotas ICMS'!$K11&lt;=EOMONTH(G$4,0),'Alíquotas ICMS'!$L11,IF('Alíquotas ICMS'!$I11&lt;=EOMONTH(G$4,0),'Alíquotas ICMS'!$J11,IF('Alíquotas ICMS'!$G11&lt;=EOMONTH(G$4,0),'Alíquotas ICMS'!$H11,'Alíquotas ICMS'!$F11)))</f>
        <v>0.28000000000000003</v>
      </c>
      <c r="H11" s="140">
        <f>IF('Alíquotas ICMS'!$K11&lt;=EOMONTH(H$4,0),'Alíquotas ICMS'!$L11,IF('Alíquotas ICMS'!$I11&lt;=EOMONTH(H$4,0),'Alíquotas ICMS'!$J11,IF('Alíquotas ICMS'!$G11&lt;=EOMONTH(H$4,0),'Alíquotas ICMS'!$H11,'Alíquotas ICMS'!$F11)))</f>
        <v>0.28000000000000003</v>
      </c>
      <c r="I11" s="140">
        <f>IF('Alíquotas ICMS'!$K11&lt;=EOMONTH(I$4,0),'Alíquotas ICMS'!$L11,IF('Alíquotas ICMS'!$I11&lt;=EOMONTH(I$4,0),'Alíquotas ICMS'!$J11,IF('Alíquotas ICMS'!$G11&lt;=EOMONTH(I$4,0),'Alíquotas ICMS'!$H11,'Alíquotas ICMS'!$F11)))</f>
        <v>0.18</v>
      </c>
      <c r="J11" s="140">
        <f>IF('Alíquotas ICMS'!$K11&lt;=EOMONTH(J$4,0),'Alíquotas ICMS'!$L11,IF('Alíquotas ICMS'!$I11&lt;=EOMONTH(J$4,0),'Alíquotas ICMS'!$J11,IF('Alíquotas ICMS'!$G11&lt;=EOMONTH(J$4,0),'Alíquotas ICMS'!$H11,'Alíquotas ICMS'!$F11)))</f>
        <v>0.18</v>
      </c>
      <c r="K11" s="140">
        <f>IF('Alíquotas ICMS'!$K11&lt;=EOMONTH(K$4,0),'Alíquotas ICMS'!$L11,IF('Alíquotas ICMS'!$I11&lt;=EOMONTH(K$4,0),'Alíquotas ICMS'!$J11,IF('Alíquotas ICMS'!$G11&lt;=EOMONTH(K$4,0),'Alíquotas ICMS'!$H11,'Alíquotas ICMS'!$F11)))</f>
        <v>0.18</v>
      </c>
      <c r="L11" s="140">
        <f>IF('Alíquotas ICMS'!$K11&lt;=EOMONTH(L$4,0),'Alíquotas ICMS'!$L11,IF('Alíquotas ICMS'!$I11&lt;=EOMONTH(L$4,0),'Alíquotas ICMS'!$J11,IF('Alíquotas ICMS'!$G11&lt;=EOMONTH(L$4,0),'Alíquotas ICMS'!$H11,'Alíquotas ICMS'!$F11)))</f>
        <v>0.18</v>
      </c>
      <c r="M11" s="140">
        <f>IF('Alíquotas ICMS'!$K11&lt;=EOMONTH(M$4,0),'Alíquotas ICMS'!$L11,IF('Alíquotas ICMS'!$I11&lt;=EOMONTH(M$4,0),'Alíquotas ICMS'!$J11,IF('Alíquotas ICMS'!$G11&lt;=EOMONTH(M$4,0),'Alíquotas ICMS'!$H11,'Alíquotas ICMS'!$F11)))</f>
        <v>0.18</v>
      </c>
      <c r="N11" s="140">
        <f>IF('Alíquotas ICMS'!$K11&lt;=EOMONTH(N$4,0),'Alíquotas ICMS'!$L11,IF('Alíquotas ICMS'!$I11&lt;=EOMONTH(N$4,0),'Alíquotas ICMS'!$J11,IF('Alíquotas ICMS'!$G11&lt;=EOMONTH(N$4,0),'Alíquotas ICMS'!$H11,'Alíquotas ICMS'!$F11)))</f>
        <v>0.18</v>
      </c>
      <c r="O11" s="139">
        <f>IF('Alíquotas ICMS'!$K11&lt;=EOMONTH(O$4,0),'Alíquotas ICMS'!$L11,IF('Alíquotas ICMS'!$I11&lt;=EOMONTH(O$4,0),'Alíquotas ICMS'!$J11,IF('Alíquotas ICMS'!$G11&lt;=EOMONTH(O$4,0),'Alíquotas ICMS'!$H11,'Alíquotas ICMS'!$F11)))</f>
        <v>0.18</v>
      </c>
    </row>
    <row r="12" spans="2:22" x14ac:dyDescent="0.25">
      <c r="B12" s="138" t="str">
        <f>'Alíquotas ICMS'!B12</f>
        <v>ES</v>
      </c>
      <c r="C12" s="137">
        <f>IF('Alíquotas ICMS'!$K12&lt;=EOMONTH(C$4,0),'Alíquotas ICMS'!$L12,IF('Alíquotas ICMS'!$I12&lt;=EOMONTH(C$4,0),'Alíquotas ICMS'!$J12,IF('Alíquotas ICMS'!$G12&lt;=EOMONTH(C$4,0),'Alíquotas ICMS'!$H12,'Alíquotas ICMS'!$F12)))</f>
        <v>0.25</v>
      </c>
      <c r="D12" s="136">
        <f>IF('Alíquotas ICMS'!$K12&lt;=EOMONTH(D$4,0),'Alíquotas ICMS'!$L12,IF('Alíquotas ICMS'!$I12&lt;=EOMONTH(D$4,0),'Alíquotas ICMS'!$J12,IF('Alíquotas ICMS'!$G12&lt;=EOMONTH(D$4,0),'Alíquotas ICMS'!$H12,'Alíquotas ICMS'!$F12)))</f>
        <v>0.25</v>
      </c>
      <c r="E12" s="136">
        <f>IF('Alíquotas ICMS'!$K12&lt;=EOMONTH(E$4,0),'Alíquotas ICMS'!$L12,IF('Alíquotas ICMS'!$I12&lt;=EOMONTH(E$4,0),'Alíquotas ICMS'!$J12,IF('Alíquotas ICMS'!$G12&lt;=EOMONTH(E$4,0),'Alíquotas ICMS'!$H12,'Alíquotas ICMS'!$F12)))</f>
        <v>0.25</v>
      </c>
      <c r="F12" s="136">
        <f>IF('Alíquotas ICMS'!$K12&lt;=EOMONTH(F$4,0),'Alíquotas ICMS'!$L12,IF('Alíquotas ICMS'!$I12&lt;=EOMONTH(F$4,0),'Alíquotas ICMS'!$J12,IF('Alíquotas ICMS'!$G12&lt;=EOMONTH(F$4,0),'Alíquotas ICMS'!$H12,'Alíquotas ICMS'!$F12)))</f>
        <v>0.25</v>
      </c>
      <c r="G12" s="136">
        <f>IF('Alíquotas ICMS'!$K12&lt;=EOMONTH(G$4,0),'Alíquotas ICMS'!$L12,IF('Alíquotas ICMS'!$I12&lt;=EOMONTH(G$4,0),'Alíquotas ICMS'!$J12,IF('Alíquotas ICMS'!$G12&lt;=EOMONTH(G$4,0),'Alíquotas ICMS'!$H12,'Alíquotas ICMS'!$F12)))</f>
        <v>0.25</v>
      </c>
      <c r="H12" s="136">
        <f>IF('Alíquotas ICMS'!$K12&lt;=EOMONTH(H$4,0),'Alíquotas ICMS'!$L12,IF('Alíquotas ICMS'!$I12&lt;=EOMONTH(H$4,0),'Alíquotas ICMS'!$J12,IF('Alíquotas ICMS'!$G12&lt;=EOMONTH(H$4,0),'Alíquotas ICMS'!$H12,'Alíquotas ICMS'!$F12)))</f>
        <v>0.25</v>
      </c>
      <c r="I12" s="136">
        <f>IF('Alíquotas ICMS'!$K12&lt;=EOMONTH(I$4,0),'Alíquotas ICMS'!$L12,IF('Alíquotas ICMS'!$I12&lt;=EOMONTH(I$4,0),'Alíquotas ICMS'!$J12,IF('Alíquotas ICMS'!$G12&lt;=EOMONTH(I$4,0),'Alíquotas ICMS'!$H12,'Alíquotas ICMS'!$F12)))</f>
        <v>0.25</v>
      </c>
      <c r="J12" s="136">
        <f>IF('Alíquotas ICMS'!$K12&lt;=EOMONTH(J$4,0),'Alíquotas ICMS'!$L12,IF('Alíquotas ICMS'!$I12&lt;=EOMONTH(J$4,0),'Alíquotas ICMS'!$J12,IF('Alíquotas ICMS'!$G12&lt;=EOMONTH(J$4,0),'Alíquotas ICMS'!$H12,'Alíquotas ICMS'!$F12)))</f>
        <v>0.17</v>
      </c>
      <c r="K12" s="136">
        <f>IF('Alíquotas ICMS'!$K12&lt;=EOMONTH(K$4,0),'Alíquotas ICMS'!$L12,IF('Alíquotas ICMS'!$I12&lt;=EOMONTH(K$4,0),'Alíquotas ICMS'!$J12,IF('Alíquotas ICMS'!$G12&lt;=EOMONTH(K$4,0),'Alíquotas ICMS'!$H12,'Alíquotas ICMS'!$F12)))</f>
        <v>0.17</v>
      </c>
      <c r="L12" s="136">
        <f>IF('Alíquotas ICMS'!$K12&lt;=EOMONTH(L$4,0),'Alíquotas ICMS'!$L12,IF('Alíquotas ICMS'!$I12&lt;=EOMONTH(L$4,0),'Alíquotas ICMS'!$J12,IF('Alíquotas ICMS'!$G12&lt;=EOMONTH(L$4,0),'Alíquotas ICMS'!$H12,'Alíquotas ICMS'!$F12)))</f>
        <v>0.17</v>
      </c>
      <c r="M12" s="136">
        <f>IF('Alíquotas ICMS'!$K12&lt;=EOMONTH(M$4,0),'Alíquotas ICMS'!$L12,IF('Alíquotas ICMS'!$I12&lt;=EOMONTH(M$4,0),'Alíquotas ICMS'!$J12,IF('Alíquotas ICMS'!$G12&lt;=EOMONTH(M$4,0),'Alíquotas ICMS'!$H12,'Alíquotas ICMS'!$F12)))</f>
        <v>0.17</v>
      </c>
      <c r="N12" s="136">
        <f>IF('Alíquotas ICMS'!$K12&lt;=EOMONTH(N$4,0),'Alíquotas ICMS'!$L12,IF('Alíquotas ICMS'!$I12&lt;=EOMONTH(N$4,0),'Alíquotas ICMS'!$J12,IF('Alíquotas ICMS'!$G12&lt;=EOMONTH(N$4,0),'Alíquotas ICMS'!$H12,'Alíquotas ICMS'!$F12)))</f>
        <v>0.17</v>
      </c>
      <c r="O12" s="135">
        <f>IF('Alíquotas ICMS'!$K12&lt;=EOMONTH(O$4,0),'Alíquotas ICMS'!$L12,IF('Alíquotas ICMS'!$I12&lt;=EOMONTH(O$4,0),'Alíquotas ICMS'!$J12,IF('Alíquotas ICMS'!$G12&lt;=EOMONTH(O$4,0),'Alíquotas ICMS'!$H12,'Alíquotas ICMS'!$F12)))</f>
        <v>0.17</v>
      </c>
    </row>
    <row r="13" spans="2:22" x14ac:dyDescent="0.25">
      <c r="B13" s="142" t="str">
        <f>'Alíquotas ICMS'!B13</f>
        <v>GO</v>
      </c>
      <c r="C13" s="141">
        <f>IF('Alíquotas ICMS'!$K13&lt;=EOMONTH(C$4,0),'Alíquotas ICMS'!$L13,IF('Alíquotas ICMS'!$I13&lt;=EOMONTH(C$4,0),'Alíquotas ICMS'!$J13,IF('Alíquotas ICMS'!$G13&lt;=EOMONTH(C$4,0),'Alíquotas ICMS'!$H13,'Alíquotas ICMS'!$F13)))</f>
        <v>0.28999999999999998</v>
      </c>
      <c r="D13" s="140">
        <f>IF('Alíquotas ICMS'!$K13&lt;=EOMONTH(D$4,0),'Alíquotas ICMS'!$L13,IF('Alíquotas ICMS'!$I13&lt;=EOMONTH(D$4,0),'Alíquotas ICMS'!$J13,IF('Alíquotas ICMS'!$G13&lt;=EOMONTH(D$4,0),'Alíquotas ICMS'!$H13,'Alíquotas ICMS'!$F13)))</f>
        <v>0.28999999999999998</v>
      </c>
      <c r="E13" s="140">
        <f>IF('Alíquotas ICMS'!$K13&lt;=EOMONTH(E$4,0),'Alíquotas ICMS'!$L13,IF('Alíquotas ICMS'!$I13&lt;=EOMONTH(E$4,0),'Alíquotas ICMS'!$J13,IF('Alíquotas ICMS'!$G13&lt;=EOMONTH(E$4,0),'Alíquotas ICMS'!$H13,'Alíquotas ICMS'!$F13)))</f>
        <v>0.28999999999999998</v>
      </c>
      <c r="F13" s="140">
        <f>IF('Alíquotas ICMS'!$K13&lt;=EOMONTH(F$4,0),'Alíquotas ICMS'!$L13,IF('Alíquotas ICMS'!$I13&lt;=EOMONTH(F$4,0),'Alíquotas ICMS'!$J13,IF('Alíquotas ICMS'!$G13&lt;=EOMONTH(F$4,0),'Alíquotas ICMS'!$H13,'Alíquotas ICMS'!$F13)))</f>
        <v>0.28999999999999998</v>
      </c>
      <c r="G13" s="140">
        <f>IF('Alíquotas ICMS'!$K13&lt;=EOMONTH(G$4,0),'Alíquotas ICMS'!$L13,IF('Alíquotas ICMS'!$I13&lt;=EOMONTH(G$4,0),'Alíquotas ICMS'!$J13,IF('Alíquotas ICMS'!$G13&lt;=EOMONTH(G$4,0),'Alíquotas ICMS'!$H13,'Alíquotas ICMS'!$F13)))</f>
        <v>0.28999999999999998</v>
      </c>
      <c r="H13" s="140">
        <f>IF('Alíquotas ICMS'!$K13&lt;=EOMONTH(H$4,0),'Alíquotas ICMS'!$L13,IF('Alíquotas ICMS'!$I13&lt;=EOMONTH(H$4,0),'Alíquotas ICMS'!$J13,IF('Alíquotas ICMS'!$G13&lt;=EOMONTH(H$4,0),'Alíquotas ICMS'!$H13,'Alíquotas ICMS'!$F13)))</f>
        <v>0.28999999999999998</v>
      </c>
      <c r="I13" s="140">
        <f>IF('Alíquotas ICMS'!$K13&lt;=EOMONTH(I$4,0),'Alíquotas ICMS'!$L13,IF('Alíquotas ICMS'!$I13&lt;=EOMONTH(I$4,0),'Alíquotas ICMS'!$J13,IF('Alíquotas ICMS'!$G13&lt;=EOMONTH(I$4,0),'Alíquotas ICMS'!$H13,'Alíquotas ICMS'!$F13)))</f>
        <v>0.17</v>
      </c>
      <c r="J13" s="140">
        <f>IF('Alíquotas ICMS'!$K13&lt;=EOMONTH(J$4,0),'Alíquotas ICMS'!$L13,IF('Alíquotas ICMS'!$I13&lt;=EOMONTH(J$4,0),'Alíquotas ICMS'!$J13,IF('Alíquotas ICMS'!$G13&lt;=EOMONTH(J$4,0),'Alíquotas ICMS'!$H13,'Alíquotas ICMS'!$F13)))</f>
        <v>0.17</v>
      </c>
      <c r="K13" s="140">
        <f>IF('Alíquotas ICMS'!$K13&lt;=EOMONTH(K$4,0),'Alíquotas ICMS'!$L13,IF('Alíquotas ICMS'!$I13&lt;=EOMONTH(K$4,0),'Alíquotas ICMS'!$J13,IF('Alíquotas ICMS'!$G13&lt;=EOMONTH(K$4,0),'Alíquotas ICMS'!$H13,'Alíquotas ICMS'!$F13)))</f>
        <v>0.17</v>
      </c>
      <c r="L13" s="140">
        <f>IF('Alíquotas ICMS'!$K13&lt;=EOMONTH(L$4,0),'Alíquotas ICMS'!$L13,IF('Alíquotas ICMS'!$I13&lt;=EOMONTH(L$4,0),'Alíquotas ICMS'!$J13,IF('Alíquotas ICMS'!$G13&lt;=EOMONTH(L$4,0),'Alíquotas ICMS'!$H13,'Alíquotas ICMS'!$F13)))</f>
        <v>0.17</v>
      </c>
      <c r="M13" s="140">
        <f>IF('Alíquotas ICMS'!$K13&lt;=EOMONTH(M$4,0),'Alíquotas ICMS'!$L13,IF('Alíquotas ICMS'!$I13&lt;=EOMONTH(M$4,0),'Alíquotas ICMS'!$J13,IF('Alíquotas ICMS'!$G13&lt;=EOMONTH(M$4,0),'Alíquotas ICMS'!$H13,'Alíquotas ICMS'!$F13)))</f>
        <v>0.17</v>
      </c>
      <c r="N13" s="140">
        <f>IF('Alíquotas ICMS'!$K13&lt;=EOMONTH(N$4,0),'Alíquotas ICMS'!$L13,IF('Alíquotas ICMS'!$I13&lt;=EOMONTH(N$4,0),'Alíquotas ICMS'!$J13,IF('Alíquotas ICMS'!$G13&lt;=EOMONTH(N$4,0),'Alíquotas ICMS'!$H13,'Alíquotas ICMS'!$F13)))</f>
        <v>0.17</v>
      </c>
      <c r="O13" s="139">
        <f>IF('Alíquotas ICMS'!$K13&lt;=EOMONTH(O$4,0),'Alíquotas ICMS'!$L13,IF('Alíquotas ICMS'!$I13&lt;=EOMONTH(O$4,0),'Alíquotas ICMS'!$J13,IF('Alíquotas ICMS'!$G13&lt;=EOMONTH(O$4,0),'Alíquotas ICMS'!$H13,'Alíquotas ICMS'!$F13)))</f>
        <v>0.17</v>
      </c>
    </row>
    <row r="14" spans="2:22" x14ac:dyDescent="0.25">
      <c r="B14" s="138" t="str">
        <f>'Alíquotas ICMS'!B14</f>
        <v>MA</v>
      </c>
      <c r="C14" s="137">
        <f>IF('Alíquotas ICMS'!$K14&lt;=EOMONTH(C$4,0),'Alíquotas ICMS'!$L14,IF('Alíquotas ICMS'!$I14&lt;=EOMONTH(C$4,0),'Alíquotas ICMS'!$J14,IF('Alíquotas ICMS'!$G14&lt;=EOMONTH(C$4,0),'Alíquotas ICMS'!$H14,'Alíquotas ICMS'!$F14)))</f>
        <v>0.28999999999999998</v>
      </c>
      <c r="D14" s="136">
        <f>IF('Alíquotas ICMS'!$K14&lt;=EOMONTH(D$4,0),'Alíquotas ICMS'!$L14,IF('Alíquotas ICMS'!$I14&lt;=EOMONTH(D$4,0),'Alíquotas ICMS'!$J14,IF('Alíquotas ICMS'!$G14&lt;=EOMONTH(D$4,0),'Alíquotas ICMS'!$H14,'Alíquotas ICMS'!$F14)))</f>
        <v>0.28999999999999998</v>
      </c>
      <c r="E14" s="136">
        <f>IF('Alíquotas ICMS'!$K14&lt;=EOMONTH(E$4,0),'Alíquotas ICMS'!$L14,IF('Alíquotas ICMS'!$I14&lt;=EOMONTH(E$4,0),'Alíquotas ICMS'!$J14,IF('Alíquotas ICMS'!$G14&lt;=EOMONTH(E$4,0),'Alíquotas ICMS'!$H14,'Alíquotas ICMS'!$F14)))</f>
        <v>0.28999999999999998</v>
      </c>
      <c r="F14" s="136">
        <f>IF('Alíquotas ICMS'!$K14&lt;=EOMONTH(F$4,0),'Alíquotas ICMS'!$L14,IF('Alíquotas ICMS'!$I14&lt;=EOMONTH(F$4,0),'Alíquotas ICMS'!$J14,IF('Alíquotas ICMS'!$G14&lt;=EOMONTH(F$4,0),'Alíquotas ICMS'!$H14,'Alíquotas ICMS'!$F14)))</f>
        <v>0.28999999999999998</v>
      </c>
      <c r="G14" s="136">
        <f>IF('Alíquotas ICMS'!$K14&lt;=EOMONTH(G$4,0),'Alíquotas ICMS'!$L14,IF('Alíquotas ICMS'!$I14&lt;=EOMONTH(G$4,0),'Alíquotas ICMS'!$J14,IF('Alíquotas ICMS'!$G14&lt;=EOMONTH(G$4,0),'Alíquotas ICMS'!$H14,'Alíquotas ICMS'!$F14)))</f>
        <v>0.28999999999999998</v>
      </c>
      <c r="H14" s="136">
        <f>IF('Alíquotas ICMS'!$K14&lt;=EOMONTH(H$4,0),'Alíquotas ICMS'!$L14,IF('Alíquotas ICMS'!$I14&lt;=EOMONTH(H$4,0),'Alíquotas ICMS'!$J14,IF('Alíquotas ICMS'!$G14&lt;=EOMONTH(H$4,0),'Alíquotas ICMS'!$H14,'Alíquotas ICMS'!$F14)))</f>
        <v>0.28999999999999998</v>
      </c>
      <c r="I14" s="136">
        <f>IF('Alíquotas ICMS'!$K14&lt;=EOMONTH(I$4,0),'Alíquotas ICMS'!$L14,IF('Alíquotas ICMS'!$I14&lt;=EOMONTH(I$4,0),'Alíquotas ICMS'!$J14,IF('Alíquotas ICMS'!$G14&lt;=EOMONTH(I$4,0),'Alíquotas ICMS'!$H14,'Alíquotas ICMS'!$F14)))</f>
        <v>0.28999999999999998</v>
      </c>
      <c r="J14" s="136">
        <f>IF('Alíquotas ICMS'!$K14&lt;=EOMONTH(J$4,0),'Alíquotas ICMS'!$L14,IF('Alíquotas ICMS'!$I14&lt;=EOMONTH(J$4,0),'Alíquotas ICMS'!$J14,IF('Alíquotas ICMS'!$G14&lt;=EOMONTH(J$4,0),'Alíquotas ICMS'!$H14,'Alíquotas ICMS'!$F14)))</f>
        <v>0.18</v>
      </c>
      <c r="K14" s="136">
        <f>IF('Alíquotas ICMS'!$K14&lt;=EOMONTH(K$4,0),'Alíquotas ICMS'!$L14,IF('Alíquotas ICMS'!$I14&lt;=EOMONTH(K$4,0),'Alíquotas ICMS'!$J14,IF('Alíquotas ICMS'!$G14&lt;=EOMONTH(K$4,0),'Alíquotas ICMS'!$H14,'Alíquotas ICMS'!$F14)))</f>
        <v>0.18</v>
      </c>
      <c r="L14" s="136">
        <f>IF('Alíquotas ICMS'!$K14&lt;=EOMONTH(L$4,0),'Alíquotas ICMS'!$L14,IF('Alíquotas ICMS'!$I14&lt;=EOMONTH(L$4,0),'Alíquotas ICMS'!$J14,IF('Alíquotas ICMS'!$G14&lt;=EOMONTH(L$4,0),'Alíquotas ICMS'!$H14,'Alíquotas ICMS'!$F14)))</f>
        <v>0.18</v>
      </c>
      <c r="M14" s="136">
        <f>IF('Alíquotas ICMS'!$K14&lt;=EOMONTH(M$4,0),'Alíquotas ICMS'!$L14,IF('Alíquotas ICMS'!$I14&lt;=EOMONTH(M$4,0),'Alíquotas ICMS'!$J14,IF('Alíquotas ICMS'!$G14&lt;=EOMONTH(M$4,0),'Alíquotas ICMS'!$H14,'Alíquotas ICMS'!$F14)))</f>
        <v>0.18</v>
      </c>
      <c r="N14" s="136">
        <f>IF('Alíquotas ICMS'!$K14&lt;=EOMONTH(N$4,0),'Alíquotas ICMS'!$L14,IF('Alíquotas ICMS'!$I14&lt;=EOMONTH(N$4,0),'Alíquotas ICMS'!$J14,IF('Alíquotas ICMS'!$G14&lt;=EOMONTH(N$4,0),'Alíquotas ICMS'!$H14,'Alíquotas ICMS'!$F14)))</f>
        <v>0.18</v>
      </c>
      <c r="O14" s="135">
        <f>IF('Alíquotas ICMS'!$K14&lt;=EOMONTH(O$4,0),'Alíquotas ICMS'!$L14,IF('Alíquotas ICMS'!$I14&lt;=EOMONTH(O$4,0),'Alíquotas ICMS'!$J14,IF('Alíquotas ICMS'!$G14&lt;=EOMONTH(O$4,0),'Alíquotas ICMS'!$H14,'Alíquotas ICMS'!$F14)))</f>
        <v>0.18</v>
      </c>
    </row>
    <row r="15" spans="2:22" x14ac:dyDescent="0.25">
      <c r="B15" s="142" t="str">
        <f>'Alíquotas ICMS'!B15</f>
        <v>MG</v>
      </c>
      <c r="C15" s="141">
        <f>IF('Alíquotas ICMS'!$K15&lt;=EOMONTH(C$4,0),'Alíquotas ICMS'!$L15,IF('Alíquotas ICMS'!$I15&lt;=EOMONTH(C$4,0),'Alíquotas ICMS'!$J15,IF('Alíquotas ICMS'!$G15&lt;=EOMONTH(C$4,0),'Alíquotas ICMS'!$H15,'Alíquotas ICMS'!$F15)))</f>
        <v>0.27</v>
      </c>
      <c r="D15" s="140">
        <f>IF('Alíquotas ICMS'!$K15&lt;=EOMONTH(D$4,0),'Alíquotas ICMS'!$L15,IF('Alíquotas ICMS'!$I15&lt;=EOMONTH(D$4,0),'Alíquotas ICMS'!$J15,IF('Alíquotas ICMS'!$G15&lt;=EOMONTH(D$4,0),'Alíquotas ICMS'!$H15,'Alíquotas ICMS'!$F15)))</f>
        <v>0.27</v>
      </c>
      <c r="E15" s="140">
        <f>IF('Alíquotas ICMS'!$K15&lt;=EOMONTH(E$4,0),'Alíquotas ICMS'!$L15,IF('Alíquotas ICMS'!$I15&lt;=EOMONTH(E$4,0),'Alíquotas ICMS'!$J15,IF('Alíquotas ICMS'!$G15&lt;=EOMONTH(E$4,0),'Alíquotas ICMS'!$H15,'Alíquotas ICMS'!$F15)))</f>
        <v>0.27</v>
      </c>
      <c r="F15" s="140">
        <f>IF('Alíquotas ICMS'!$K15&lt;=EOMONTH(F$4,0),'Alíquotas ICMS'!$L15,IF('Alíquotas ICMS'!$I15&lt;=EOMONTH(F$4,0),'Alíquotas ICMS'!$J15,IF('Alíquotas ICMS'!$G15&lt;=EOMONTH(F$4,0),'Alíquotas ICMS'!$H15,'Alíquotas ICMS'!$F15)))</f>
        <v>0.27</v>
      </c>
      <c r="G15" s="140">
        <f>IF('Alíquotas ICMS'!$K15&lt;=EOMONTH(G$4,0),'Alíquotas ICMS'!$L15,IF('Alíquotas ICMS'!$I15&lt;=EOMONTH(G$4,0),'Alíquotas ICMS'!$J15,IF('Alíquotas ICMS'!$G15&lt;=EOMONTH(G$4,0),'Alíquotas ICMS'!$H15,'Alíquotas ICMS'!$F15)))</f>
        <v>0.27</v>
      </c>
      <c r="H15" s="140">
        <f>IF('Alíquotas ICMS'!$K15&lt;=EOMONTH(H$4,0),'Alíquotas ICMS'!$L15,IF('Alíquotas ICMS'!$I15&lt;=EOMONTH(H$4,0),'Alíquotas ICMS'!$J15,IF('Alíquotas ICMS'!$G15&lt;=EOMONTH(H$4,0),'Alíquotas ICMS'!$H15,'Alíquotas ICMS'!$F15)))</f>
        <v>0.27</v>
      </c>
      <c r="I15" s="140">
        <f>IF('Alíquotas ICMS'!$K15&lt;=EOMONTH(I$4,0),'Alíquotas ICMS'!$L15,IF('Alíquotas ICMS'!$I15&lt;=EOMONTH(I$4,0),'Alíquotas ICMS'!$J15,IF('Alíquotas ICMS'!$G15&lt;=EOMONTH(I$4,0),'Alíquotas ICMS'!$H15,'Alíquotas ICMS'!$F15)))</f>
        <v>0.18</v>
      </c>
      <c r="J15" s="140">
        <f>IF('Alíquotas ICMS'!$K15&lt;=EOMONTH(J$4,0),'Alíquotas ICMS'!$L15,IF('Alíquotas ICMS'!$I15&lt;=EOMONTH(J$4,0),'Alíquotas ICMS'!$J15,IF('Alíquotas ICMS'!$G15&lt;=EOMONTH(J$4,0),'Alíquotas ICMS'!$H15,'Alíquotas ICMS'!$F15)))</f>
        <v>0.18</v>
      </c>
      <c r="K15" s="140">
        <f>IF('Alíquotas ICMS'!$K15&lt;=EOMONTH(K$4,0),'Alíquotas ICMS'!$L15,IF('Alíquotas ICMS'!$I15&lt;=EOMONTH(K$4,0),'Alíquotas ICMS'!$J15,IF('Alíquotas ICMS'!$G15&lt;=EOMONTH(K$4,0),'Alíquotas ICMS'!$H15,'Alíquotas ICMS'!$F15)))</f>
        <v>0.18</v>
      </c>
      <c r="L15" s="140">
        <f>IF('Alíquotas ICMS'!$K15&lt;=EOMONTH(L$4,0),'Alíquotas ICMS'!$L15,IF('Alíquotas ICMS'!$I15&lt;=EOMONTH(L$4,0),'Alíquotas ICMS'!$J15,IF('Alíquotas ICMS'!$G15&lt;=EOMONTH(L$4,0),'Alíquotas ICMS'!$H15,'Alíquotas ICMS'!$F15)))</f>
        <v>0.18</v>
      </c>
      <c r="M15" s="140">
        <f>IF('Alíquotas ICMS'!$K15&lt;=EOMONTH(M$4,0),'Alíquotas ICMS'!$L15,IF('Alíquotas ICMS'!$I15&lt;=EOMONTH(M$4,0),'Alíquotas ICMS'!$J15,IF('Alíquotas ICMS'!$G15&lt;=EOMONTH(M$4,0),'Alíquotas ICMS'!$H15,'Alíquotas ICMS'!$F15)))</f>
        <v>0.18</v>
      </c>
      <c r="N15" s="140">
        <f>IF('Alíquotas ICMS'!$K15&lt;=EOMONTH(N$4,0),'Alíquotas ICMS'!$L15,IF('Alíquotas ICMS'!$I15&lt;=EOMONTH(N$4,0),'Alíquotas ICMS'!$J15,IF('Alíquotas ICMS'!$G15&lt;=EOMONTH(N$4,0),'Alíquotas ICMS'!$H15,'Alíquotas ICMS'!$F15)))</f>
        <v>0.18</v>
      </c>
      <c r="O15" s="139">
        <f>IF('Alíquotas ICMS'!$K15&lt;=EOMONTH(O$4,0),'Alíquotas ICMS'!$L15,IF('Alíquotas ICMS'!$I15&lt;=EOMONTH(O$4,0),'Alíquotas ICMS'!$J15,IF('Alíquotas ICMS'!$G15&lt;=EOMONTH(O$4,0),'Alíquotas ICMS'!$H15,'Alíquotas ICMS'!$F15)))</f>
        <v>0.18</v>
      </c>
    </row>
    <row r="16" spans="2:22" x14ac:dyDescent="0.25">
      <c r="B16" s="138" t="str">
        <f>'Alíquotas ICMS'!B16</f>
        <v>MS</v>
      </c>
      <c r="C16" s="137">
        <f>IF('Alíquotas ICMS'!$K16&lt;=EOMONTH(C$4,0),'Alíquotas ICMS'!$L16,IF('Alíquotas ICMS'!$I16&lt;=EOMONTH(C$4,0),'Alíquotas ICMS'!$J16,IF('Alíquotas ICMS'!$G16&lt;=EOMONTH(C$4,0),'Alíquotas ICMS'!$H16,'Alíquotas ICMS'!$F16)))</f>
        <v>0.28999999999999998</v>
      </c>
      <c r="D16" s="136">
        <f>IF('Alíquotas ICMS'!$K16&lt;=EOMONTH(D$4,0),'Alíquotas ICMS'!$L16,IF('Alíquotas ICMS'!$I16&lt;=EOMONTH(D$4,0),'Alíquotas ICMS'!$J16,IF('Alíquotas ICMS'!$G16&lt;=EOMONTH(D$4,0),'Alíquotas ICMS'!$H16,'Alíquotas ICMS'!$F16)))</f>
        <v>0.28999999999999998</v>
      </c>
      <c r="E16" s="136">
        <f>IF('Alíquotas ICMS'!$K16&lt;=EOMONTH(E$4,0),'Alíquotas ICMS'!$L16,IF('Alíquotas ICMS'!$I16&lt;=EOMONTH(E$4,0),'Alíquotas ICMS'!$J16,IF('Alíquotas ICMS'!$G16&lt;=EOMONTH(E$4,0),'Alíquotas ICMS'!$H16,'Alíquotas ICMS'!$F16)))</f>
        <v>0.28999999999999998</v>
      </c>
      <c r="F16" s="136">
        <f>IF('Alíquotas ICMS'!$K16&lt;=EOMONTH(F$4,0),'Alíquotas ICMS'!$L16,IF('Alíquotas ICMS'!$I16&lt;=EOMONTH(F$4,0),'Alíquotas ICMS'!$J16,IF('Alíquotas ICMS'!$G16&lt;=EOMONTH(F$4,0),'Alíquotas ICMS'!$H16,'Alíquotas ICMS'!$F16)))</f>
        <v>0.28999999999999998</v>
      </c>
      <c r="G16" s="136">
        <f>IF('Alíquotas ICMS'!$K16&lt;=EOMONTH(G$4,0),'Alíquotas ICMS'!$L16,IF('Alíquotas ICMS'!$I16&lt;=EOMONTH(G$4,0),'Alíquotas ICMS'!$J16,IF('Alíquotas ICMS'!$G16&lt;=EOMONTH(G$4,0),'Alíquotas ICMS'!$H16,'Alíquotas ICMS'!$F16)))</f>
        <v>0.28999999999999998</v>
      </c>
      <c r="H16" s="136">
        <f>IF('Alíquotas ICMS'!$K16&lt;=EOMONTH(H$4,0),'Alíquotas ICMS'!$L16,IF('Alíquotas ICMS'!$I16&lt;=EOMONTH(H$4,0),'Alíquotas ICMS'!$J16,IF('Alíquotas ICMS'!$G16&lt;=EOMONTH(H$4,0),'Alíquotas ICMS'!$H16,'Alíquotas ICMS'!$F16)))</f>
        <v>0.28999999999999998</v>
      </c>
      <c r="I16" s="136">
        <f>IF('Alíquotas ICMS'!$K16&lt;=EOMONTH(I$4,0),'Alíquotas ICMS'!$L16,IF('Alíquotas ICMS'!$I16&lt;=EOMONTH(I$4,0),'Alíquotas ICMS'!$J16,IF('Alíquotas ICMS'!$G16&lt;=EOMONTH(I$4,0),'Alíquotas ICMS'!$H16,'Alíquotas ICMS'!$F16)))</f>
        <v>0.28999999999999998</v>
      </c>
      <c r="J16" s="136">
        <f>IF('Alíquotas ICMS'!$K16&lt;=EOMONTH(J$4,0),'Alíquotas ICMS'!$L16,IF('Alíquotas ICMS'!$I16&lt;=EOMONTH(J$4,0),'Alíquotas ICMS'!$J16,IF('Alíquotas ICMS'!$G16&lt;=EOMONTH(J$4,0),'Alíquotas ICMS'!$H16,'Alíquotas ICMS'!$F16)))</f>
        <v>0.19</v>
      </c>
      <c r="K16" s="136">
        <f>IF('Alíquotas ICMS'!$K16&lt;=EOMONTH(K$4,0),'Alíquotas ICMS'!$L16,IF('Alíquotas ICMS'!$I16&lt;=EOMONTH(K$4,0),'Alíquotas ICMS'!$J16,IF('Alíquotas ICMS'!$G16&lt;=EOMONTH(K$4,0),'Alíquotas ICMS'!$H16,'Alíquotas ICMS'!$F16)))</f>
        <v>0.19</v>
      </c>
      <c r="L16" s="136">
        <f>IF('Alíquotas ICMS'!$K16&lt;=EOMONTH(L$4,0),'Alíquotas ICMS'!$L16,IF('Alíquotas ICMS'!$I16&lt;=EOMONTH(L$4,0),'Alíquotas ICMS'!$J16,IF('Alíquotas ICMS'!$G16&lt;=EOMONTH(L$4,0),'Alíquotas ICMS'!$H16,'Alíquotas ICMS'!$F16)))</f>
        <v>0.19</v>
      </c>
      <c r="M16" s="136">
        <f>IF('Alíquotas ICMS'!$K16&lt;=EOMONTH(M$4,0),'Alíquotas ICMS'!$L16,IF('Alíquotas ICMS'!$I16&lt;=EOMONTH(M$4,0),'Alíquotas ICMS'!$J16,IF('Alíquotas ICMS'!$G16&lt;=EOMONTH(M$4,0),'Alíquotas ICMS'!$H16,'Alíquotas ICMS'!$F16)))</f>
        <v>0.19</v>
      </c>
      <c r="N16" s="136">
        <f>IF('Alíquotas ICMS'!$K16&lt;=EOMONTH(N$4,0),'Alíquotas ICMS'!$L16,IF('Alíquotas ICMS'!$I16&lt;=EOMONTH(N$4,0),'Alíquotas ICMS'!$J16,IF('Alíquotas ICMS'!$G16&lt;=EOMONTH(N$4,0),'Alíquotas ICMS'!$H16,'Alíquotas ICMS'!$F16)))</f>
        <v>0.19</v>
      </c>
      <c r="O16" s="135">
        <f>IF('Alíquotas ICMS'!$K16&lt;=EOMONTH(O$4,0),'Alíquotas ICMS'!$L16,IF('Alíquotas ICMS'!$I16&lt;=EOMONTH(O$4,0),'Alíquotas ICMS'!$J16,IF('Alíquotas ICMS'!$G16&lt;=EOMONTH(O$4,0),'Alíquotas ICMS'!$H16,'Alíquotas ICMS'!$F16)))</f>
        <v>0.19</v>
      </c>
    </row>
    <row r="17" spans="2:15" x14ac:dyDescent="0.25">
      <c r="B17" s="142" t="str">
        <f>'Alíquotas ICMS'!B17</f>
        <v>MT</v>
      </c>
      <c r="C17" s="141">
        <f>IF('Alíquotas ICMS'!$K17&lt;=EOMONTH(C$4,0),'Alíquotas ICMS'!$L17,IF('Alíquotas ICMS'!$I17&lt;=EOMONTH(C$4,0),'Alíquotas ICMS'!$J17,IF('Alíquotas ICMS'!$G17&lt;=EOMONTH(C$4,0),'Alíquotas ICMS'!$H17,'Alíquotas ICMS'!$F17)))</f>
        <v>0.19</v>
      </c>
      <c r="D17" s="140">
        <f>IF('Alíquotas ICMS'!$K17&lt;=EOMONTH(D$4,0),'Alíquotas ICMS'!$L17,IF('Alíquotas ICMS'!$I17&lt;=EOMONTH(D$4,0),'Alíquotas ICMS'!$J17,IF('Alíquotas ICMS'!$G17&lt;=EOMONTH(D$4,0),'Alíquotas ICMS'!$H17,'Alíquotas ICMS'!$F17)))</f>
        <v>0.19</v>
      </c>
      <c r="E17" s="140">
        <f>IF('Alíquotas ICMS'!$K17&lt;=EOMONTH(E$4,0),'Alíquotas ICMS'!$L17,IF('Alíquotas ICMS'!$I17&lt;=EOMONTH(E$4,0),'Alíquotas ICMS'!$J17,IF('Alíquotas ICMS'!$G17&lt;=EOMONTH(E$4,0),'Alíquotas ICMS'!$H17,'Alíquotas ICMS'!$F17)))</f>
        <v>0.19</v>
      </c>
      <c r="F17" s="140">
        <f>IF('Alíquotas ICMS'!$K17&lt;=EOMONTH(F$4,0),'Alíquotas ICMS'!$L17,IF('Alíquotas ICMS'!$I17&lt;=EOMONTH(F$4,0),'Alíquotas ICMS'!$J17,IF('Alíquotas ICMS'!$G17&lt;=EOMONTH(F$4,0),'Alíquotas ICMS'!$H17,'Alíquotas ICMS'!$F17)))</f>
        <v>0.19</v>
      </c>
      <c r="G17" s="140">
        <f>IF('Alíquotas ICMS'!$K17&lt;=EOMONTH(G$4,0),'Alíquotas ICMS'!$L17,IF('Alíquotas ICMS'!$I17&lt;=EOMONTH(G$4,0),'Alíquotas ICMS'!$J17,IF('Alíquotas ICMS'!$G17&lt;=EOMONTH(G$4,0),'Alíquotas ICMS'!$H17,'Alíquotas ICMS'!$F17)))</f>
        <v>0.19</v>
      </c>
      <c r="H17" s="140">
        <f>IF('Alíquotas ICMS'!$K17&lt;=EOMONTH(H$4,0),'Alíquotas ICMS'!$L17,IF('Alíquotas ICMS'!$I17&lt;=EOMONTH(H$4,0),'Alíquotas ICMS'!$J17,IF('Alíquotas ICMS'!$G17&lt;=EOMONTH(H$4,0),'Alíquotas ICMS'!$H17,'Alíquotas ICMS'!$F17)))</f>
        <v>0.19</v>
      </c>
      <c r="I17" s="140">
        <f>IF('Alíquotas ICMS'!$K17&lt;=EOMONTH(I$4,0),'Alíquotas ICMS'!$L17,IF('Alíquotas ICMS'!$I17&lt;=EOMONTH(I$4,0),'Alíquotas ICMS'!$J17,IF('Alíquotas ICMS'!$G17&lt;=EOMONTH(I$4,0),'Alíquotas ICMS'!$H17,'Alíquotas ICMS'!$F17)))</f>
        <v>0.19</v>
      </c>
      <c r="J17" s="140">
        <f>IF('Alíquotas ICMS'!$K17&lt;=EOMONTH(J$4,0),'Alíquotas ICMS'!$L17,IF('Alíquotas ICMS'!$I17&lt;=EOMONTH(J$4,0),'Alíquotas ICMS'!$J17,IF('Alíquotas ICMS'!$G17&lt;=EOMONTH(J$4,0),'Alíquotas ICMS'!$H17,'Alíquotas ICMS'!$F17)))</f>
        <v>0.19</v>
      </c>
      <c r="K17" s="140">
        <f>IF('Alíquotas ICMS'!$K17&lt;=EOMONTH(K$4,0),'Alíquotas ICMS'!$L17,IF('Alíquotas ICMS'!$I17&lt;=EOMONTH(K$4,0),'Alíquotas ICMS'!$J17,IF('Alíquotas ICMS'!$G17&lt;=EOMONTH(K$4,0),'Alíquotas ICMS'!$H17,'Alíquotas ICMS'!$F17)))</f>
        <v>0.19</v>
      </c>
      <c r="L17" s="140">
        <f>IF('Alíquotas ICMS'!$K17&lt;=EOMONTH(L$4,0),'Alíquotas ICMS'!$L17,IF('Alíquotas ICMS'!$I17&lt;=EOMONTH(L$4,0),'Alíquotas ICMS'!$J17,IF('Alíquotas ICMS'!$G17&lt;=EOMONTH(L$4,0),'Alíquotas ICMS'!$H17,'Alíquotas ICMS'!$F17)))</f>
        <v>0.19</v>
      </c>
      <c r="M17" s="140">
        <f>IF('Alíquotas ICMS'!$K17&lt;=EOMONTH(M$4,0),'Alíquotas ICMS'!$L17,IF('Alíquotas ICMS'!$I17&lt;=EOMONTH(M$4,0),'Alíquotas ICMS'!$J17,IF('Alíquotas ICMS'!$G17&lt;=EOMONTH(M$4,0),'Alíquotas ICMS'!$H17,'Alíquotas ICMS'!$F17)))</f>
        <v>0.19</v>
      </c>
      <c r="N17" s="140">
        <f>IF('Alíquotas ICMS'!$K17&lt;=EOMONTH(N$4,0),'Alíquotas ICMS'!$L17,IF('Alíquotas ICMS'!$I17&lt;=EOMONTH(N$4,0),'Alíquotas ICMS'!$J17,IF('Alíquotas ICMS'!$G17&lt;=EOMONTH(N$4,0),'Alíquotas ICMS'!$H17,'Alíquotas ICMS'!$F17)))</f>
        <v>0.19</v>
      </c>
      <c r="O17" s="139">
        <f>IF('Alíquotas ICMS'!$K17&lt;=EOMONTH(O$4,0),'Alíquotas ICMS'!$L17,IF('Alíquotas ICMS'!$I17&lt;=EOMONTH(O$4,0),'Alíquotas ICMS'!$J17,IF('Alíquotas ICMS'!$G17&lt;=EOMONTH(O$4,0),'Alíquotas ICMS'!$H17,'Alíquotas ICMS'!$F17)))</f>
        <v>0.19</v>
      </c>
    </row>
    <row r="18" spans="2:15" x14ac:dyDescent="0.25">
      <c r="B18" s="138" t="str">
        <f>'Alíquotas ICMS'!B18</f>
        <v>PA</v>
      </c>
      <c r="C18" s="137">
        <f>IF('Alíquotas ICMS'!$K18&lt;=EOMONTH(C$4,0),'Alíquotas ICMS'!$L18,IF('Alíquotas ICMS'!$I18&lt;=EOMONTH(C$4,0),'Alíquotas ICMS'!$J18,IF('Alíquotas ICMS'!$G18&lt;=EOMONTH(C$4,0),'Alíquotas ICMS'!$H18,'Alíquotas ICMS'!$F18)))</f>
        <v>0.3</v>
      </c>
      <c r="D18" s="136">
        <f>IF('Alíquotas ICMS'!$K18&lt;=EOMONTH(D$4,0),'Alíquotas ICMS'!$L18,IF('Alíquotas ICMS'!$I18&lt;=EOMONTH(D$4,0),'Alíquotas ICMS'!$J18,IF('Alíquotas ICMS'!$G18&lt;=EOMONTH(D$4,0),'Alíquotas ICMS'!$H18,'Alíquotas ICMS'!$F18)))</f>
        <v>0.3</v>
      </c>
      <c r="E18" s="136">
        <f>IF('Alíquotas ICMS'!$K18&lt;=EOMONTH(E$4,0),'Alíquotas ICMS'!$L18,IF('Alíquotas ICMS'!$I18&lt;=EOMONTH(E$4,0),'Alíquotas ICMS'!$J18,IF('Alíquotas ICMS'!$G18&lt;=EOMONTH(E$4,0),'Alíquotas ICMS'!$H18,'Alíquotas ICMS'!$F18)))</f>
        <v>0.3</v>
      </c>
      <c r="F18" s="136">
        <f>IF('Alíquotas ICMS'!$K18&lt;=EOMONTH(F$4,0),'Alíquotas ICMS'!$L18,IF('Alíquotas ICMS'!$I18&lt;=EOMONTH(F$4,0),'Alíquotas ICMS'!$J18,IF('Alíquotas ICMS'!$G18&lt;=EOMONTH(F$4,0),'Alíquotas ICMS'!$H18,'Alíquotas ICMS'!$F18)))</f>
        <v>0.3</v>
      </c>
      <c r="G18" s="136">
        <f>IF('Alíquotas ICMS'!$K18&lt;=EOMONTH(G$4,0),'Alíquotas ICMS'!$L18,IF('Alíquotas ICMS'!$I18&lt;=EOMONTH(G$4,0),'Alíquotas ICMS'!$J18,IF('Alíquotas ICMS'!$G18&lt;=EOMONTH(G$4,0),'Alíquotas ICMS'!$H18,'Alíquotas ICMS'!$F18)))</f>
        <v>0.3</v>
      </c>
      <c r="H18" s="136">
        <f>IF('Alíquotas ICMS'!$K18&lt;=EOMONTH(H$4,0),'Alíquotas ICMS'!$L18,IF('Alíquotas ICMS'!$I18&lt;=EOMONTH(H$4,0),'Alíquotas ICMS'!$J18,IF('Alíquotas ICMS'!$G18&lt;=EOMONTH(H$4,0),'Alíquotas ICMS'!$H18,'Alíquotas ICMS'!$F18)))</f>
        <v>0.3</v>
      </c>
      <c r="I18" s="136">
        <f>IF('Alíquotas ICMS'!$K18&lt;=EOMONTH(I$4,0),'Alíquotas ICMS'!$L18,IF('Alíquotas ICMS'!$I18&lt;=EOMONTH(I$4,0),'Alíquotas ICMS'!$J18,IF('Alíquotas ICMS'!$G18&lt;=EOMONTH(I$4,0),'Alíquotas ICMS'!$H18,'Alíquotas ICMS'!$F18)))</f>
        <v>0.3</v>
      </c>
      <c r="J18" s="136">
        <f>IF('Alíquotas ICMS'!$K18&lt;=EOMONTH(J$4,0),'Alíquotas ICMS'!$L18,IF('Alíquotas ICMS'!$I18&lt;=EOMONTH(J$4,0),'Alíquotas ICMS'!$J18,IF('Alíquotas ICMS'!$G18&lt;=EOMONTH(J$4,0),'Alíquotas ICMS'!$H18,'Alíquotas ICMS'!$F18)))</f>
        <v>0.17</v>
      </c>
      <c r="K18" s="136">
        <f>IF('Alíquotas ICMS'!$K18&lt;=EOMONTH(K$4,0),'Alíquotas ICMS'!$L18,IF('Alíquotas ICMS'!$I18&lt;=EOMONTH(K$4,0),'Alíquotas ICMS'!$J18,IF('Alíquotas ICMS'!$G18&lt;=EOMONTH(K$4,0),'Alíquotas ICMS'!$H18,'Alíquotas ICMS'!$F18)))</f>
        <v>0.17</v>
      </c>
      <c r="L18" s="136">
        <f>IF('Alíquotas ICMS'!$K18&lt;=EOMONTH(L$4,0),'Alíquotas ICMS'!$L18,IF('Alíquotas ICMS'!$I18&lt;=EOMONTH(L$4,0),'Alíquotas ICMS'!$J18,IF('Alíquotas ICMS'!$G18&lt;=EOMONTH(L$4,0),'Alíquotas ICMS'!$H18,'Alíquotas ICMS'!$F18)))</f>
        <v>0.17</v>
      </c>
      <c r="M18" s="136">
        <f>IF('Alíquotas ICMS'!$K18&lt;=EOMONTH(M$4,0),'Alíquotas ICMS'!$L18,IF('Alíquotas ICMS'!$I18&lt;=EOMONTH(M$4,0),'Alíquotas ICMS'!$J18,IF('Alíquotas ICMS'!$G18&lt;=EOMONTH(M$4,0),'Alíquotas ICMS'!$H18,'Alíquotas ICMS'!$F18)))</f>
        <v>0.17</v>
      </c>
      <c r="N18" s="136">
        <f>IF('Alíquotas ICMS'!$K18&lt;=EOMONTH(N$4,0),'Alíquotas ICMS'!$L18,IF('Alíquotas ICMS'!$I18&lt;=EOMONTH(N$4,0),'Alíquotas ICMS'!$J18,IF('Alíquotas ICMS'!$G18&lt;=EOMONTH(N$4,0),'Alíquotas ICMS'!$H18,'Alíquotas ICMS'!$F18)))</f>
        <v>0.17</v>
      </c>
      <c r="O18" s="135">
        <f>IF('Alíquotas ICMS'!$K18&lt;=EOMONTH(O$4,0),'Alíquotas ICMS'!$L18,IF('Alíquotas ICMS'!$I18&lt;=EOMONTH(O$4,0),'Alíquotas ICMS'!$J18,IF('Alíquotas ICMS'!$G18&lt;=EOMONTH(O$4,0),'Alíquotas ICMS'!$H18,'Alíquotas ICMS'!$F18)))</f>
        <v>0.17</v>
      </c>
    </row>
    <row r="19" spans="2:15" x14ac:dyDescent="0.25">
      <c r="B19" s="142" t="str">
        <f>'Alíquotas ICMS'!B19</f>
        <v>PB</v>
      </c>
      <c r="C19" s="141">
        <f>IF('Alíquotas ICMS'!$K19&lt;=EOMONTH(C$4,0),'Alíquotas ICMS'!$L19,IF('Alíquotas ICMS'!$I19&lt;=EOMONTH(C$4,0),'Alíquotas ICMS'!$J19,IF('Alíquotas ICMS'!$G19&lt;=EOMONTH(C$4,0),'Alíquotas ICMS'!$H19,'Alíquotas ICMS'!$F19)))</f>
        <v>0.3</v>
      </c>
      <c r="D19" s="140">
        <f>IF('Alíquotas ICMS'!$K19&lt;=EOMONTH(D$4,0),'Alíquotas ICMS'!$L19,IF('Alíquotas ICMS'!$I19&lt;=EOMONTH(D$4,0),'Alíquotas ICMS'!$J19,IF('Alíquotas ICMS'!$G19&lt;=EOMONTH(D$4,0),'Alíquotas ICMS'!$H19,'Alíquotas ICMS'!$F19)))</f>
        <v>0.3</v>
      </c>
      <c r="E19" s="140">
        <f>IF('Alíquotas ICMS'!$K19&lt;=EOMONTH(E$4,0),'Alíquotas ICMS'!$L19,IF('Alíquotas ICMS'!$I19&lt;=EOMONTH(E$4,0),'Alíquotas ICMS'!$J19,IF('Alíquotas ICMS'!$G19&lt;=EOMONTH(E$4,0),'Alíquotas ICMS'!$H19,'Alíquotas ICMS'!$F19)))</f>
        <v>0.3</v>
      </c>
      <c r="F19" s="140">
        <f>IF('Alíquotas ICMS'!$K19&lt;=EOMONTH(F$4,0),'Alíquotas ICMS'!$L19,IF('Alíquotas ICMS'!$I19&lt;=EOMONTH(F$4,0),'Alíquotas ICMS'!$J19,IF('Alíquotas ICMS'!$G19&lt;=EOMONTH(F$4,0),'Alíquotas ICMS'!$H19,'Alíquotas ICMS'!$F19)))</f>
        <v>0.3</v>
      </c>
      <c r="G19" s="140">
        <f>IF('Alíquotas ICMS'!$K19&lt;=EOMONTH(G$4,0),'Alíquotas ICMS'!$L19,IF('Alíquotas ICMS'!$I19&lt;=EOMONTH(G$4,0),'Alíquotas ICMS'!$J19,IF('Alíquotas ICMS'!$G19&lt;=EOMONTH(G$4,0),'Alíquotas ICMS'!$H19,'Alíquotas ICMS'!$F19)))</f>
        <v>0.3</v>
      </c>
      <c r="H19" s="140">
        <f>IF('Alíquotas ICMS'!$K19&lt;=EOMONTH(H$4,0),'Alíquotas ICMS'!$L19,IF('Alíquotas ICMS'!$I19&lt;=EOMONTH(H$4,0),'Alíquotas ICMS'!$J19,IF('Alíquotas ICMS'!$G19&lt;=EOMONTH(H$4,0),'Alíquotas ICMS'!$H19,'Alíquotas ICMS'!$F19)))</f>
        <v>0.3</v>
      </c>
      <c r="I19" s="140">
        <f>IF('Alíquotas ICMS'!$K19&lt;=EOMONTH(I$4,0),'Alíquotas ICMS'!$L19,IF('Alíquotas ICMS'!$I19&lt;=EOMONTH(I$4,0),'Alíquotas ICMS'!$J19,IF('Alíquotas ICMS'!$G19&lt;=EOMONTH(I$4,0),'Alíquotas ICMS'!$H19,'Alíquotas ICMS'!$F19)))</f>
        <v>0.2</v>
      </c>
      <c r="J19" s="140">
        <f>IF('Alíquotas ICMS'!$K19&lt;=EOMONTH(J$4,0),'Alíquotas ICMS'!$L19,IF('Alíquotas ICMS'!$I19&lt;=EOMONTH(J$4,0),'Alíquotas ICMS'!$J19,IF('Alíquotas ICMS'!$G19&lt;=EOMONTH(J$4,0),'Alíquotas ICMS'!$H19,'Alíquotas ICMS'!$F19)))</f>
        <v>0.2</v>
      </c>
      <c r="K19" s="140">
        <f>IF('Alíquotas ICMS'!$K19&lt;=EOMONTH(K$4,0),'Alíquotas ICMS'!$L19,IF('Alíquotas ICMS'!$I19&lt;=EOMONTH(K$4,0),'Alíquotas ICMS'!$J19,IF('Alíquotas ICMS'!$G19&lt;=EOMONTH(K$4,0),'Alíquotas ICMS'!$H19,'Alíquotas ICMS'!$F19)))</f>
        <v>0.2</v>
      </c>
      <c r="L19" s="140">
        <f>IF('Alíquotas ICMS'!$K19&lt;=EOMONTH(L$4,0),'Alíquotas ICMS'!$L19,IF('Alíquotas ICMS'!$I19&lt;=EOMONTH(L$4,0),'Alíquotas ICMS'!$J19,IF('Alíquotas ICMS'!$G19&lt;=EOMONTH(L$4,0),'Alíquotas ICMS'!$H19,'Alíquotas ICMS'!$F19)))</f>
        <v>0.2</v>
      </c>
      <c r="M19" s="140">
        <f>IF('Alíquotas ICMS'!$K19&lt;=EOMONTH(M$4,0),'Alíquotas ICMS'!$L19,IF('Alíquotas ICMS'!$I19&lt;=EOMONTH(M$4,0),'Alíquotas ICMS'!$J19,IF('Alíquotas ICMS'!$G19&lt;=EOMONTH(M$4,0),'Alíquotas ICMS'!$H19,'Alíquotas ICMS'!$F19)))</f>
        <v>0.2</v>
      </c>
      <c r="N19" s="140">
        <f>IF('Alíquotas ICMS'!$K19&lt;=EOMONTH(N$4,0),'Alíquotas ICMS'!$L19,IF('Alíquotas ICMS'!$I19&lt;=EOMONTH(N$4,0),'Alíquotas ICMS'!$J19,IF('Alíquotas ICMS'!$G19&lt;=EOMONTH(N$4,0),'Alíquotas ICMS'!$H19,'Alíquotas ICMS'!$F19)))</f>
        <v>0.2</v>
      </c>
      <c r="O19" s="139">
        <f>IF('Alíquotas ICMS'!$K19&lt;=EOMONTH(O$4,0),'Alíquotas ICMS'!$L19,IF('Alíquotas ICMS'!$I19&lt;=EOMONTH(O$4,0),'Alíquotas ICMS'!$J19,IF('Alíquotas ICMS'!$G19&lt;=EOMONTH(O$4,0),'Alíquotas ICMS'!$H19,'Alíquotas ICMS'!$F19)))</f>
        <v>0.2</v>
      </c>
    </row>
    <row r="20" spans="2:15" x14ac:dyDescent="0.25">
      <c r="B20" s="138" t="str">
        <f>'Alíquotas ICMS'!B20</f>
        <v>PE</v>
      </c>
      <c r="C20" s="137">
        <f>IF('Alíquotas ICMS'!$K20&lt;=EOMONTH(C$4,0),'Alíquotas ICMS'!$L20,IF('Alíquotas ICMS'!$I20&lt;=EOMONTH(C$4,0),'Alíquotas ICMS'!$J20,IF('Alíquotas ICMS'!$G20&lt;=EOMONTH(C$4,0),'Alíquotas ICMS'!$H20,'Alíquotas ICMS'!$F20)))</f>
        <v>0.3</v>
      </c>
      <c r="D20" s="136">
        <f>IF('Alíquotas ICMS'!$K20&lt;=EOMONTH(D$4,0),'Alíquotas ICMS'!$L20,IF('Alíquotas ICMS'!$I20&lt;=EOMONTH(D$4,0),'Alíquotas ICMS'!$J20,IF('Alíquotas ICMS'!$G20&lt;=EOMONTH(D$4,0),'Alíquotas ICMS'!$H20,'Alíquotas ICMS'!$F20)))</f>
        <v>0.3</v>
      </c>
      <c r="E20" s="136">
        <f>IF('Alíquotas ICMS'!$K20&lt;=EOMONTH(E$4,0),'Alíquotas ICMS'!$L20,IF('Alíquotas ICMS'!$I20&lt;=EOMONTH(E$4,0),'Alíquotas ICMS'!$J20,IF('Alíquotas ICMS'!$G20&lt;=EOMONTH(E$4,0),'Alíquotas ICMS'!$H20,'Alíquotas ICMS'!$F20)))</f>
        <v>0.3</v>
      </c>
      <c r="F20" s="136">
        <f>IF('Alíquotas ICMS'!$K20&lt;=EOMONTH(F$4,0),'Alíquotas ICMS'!$L20,IF('Alíquotas ICMS'!$I20&lt;=EOMONTH(F$4,0),'Alíquotas ICMS'!$J20,IF('Alíquotas ICMS'!$G20&lt;=EOMONTH(F$4,0),'Alíquotas ICMS'!$H20,'Alíquotas ICMS'!$F20)))</f>
        <v>0.3</v>
      </c>
      <c r="G20" s="136">
        <f>IF('Alíquotas ICMS'!$K20&lt;=EOMONTH(G$4,0),'Alíquotas ICMS'!$L20,IF('Alíquotas ICMS'!$I20&lt;=EOMONTH(G$4,0),'Alíquotas ICMS'!$J20,IF('Alíquotas ICMS'!$G20&lt;=EOMONTH(G$4,0),'Alíquotas ICMS'!$H20,'Alíquotas ICMS'!$F20)))</f>
        <v>0.3</v>
      </c>
      <c r="H20" s="136">
        <f>IF('Alíquotas ICMS'!$K20&lt;=EOMONTH(H$4,0),'Alíquotas ICMS'!$L20,IF('Alíquotas ICMS'!$I20&lt;=EOMONTH(H$4,0),'Alíquotas ICMS'!$J20,IF('Alíquotas ICMS'!$G20&lt;=EOMONTH(H$4,0),'Alíquotas ICMS'!$H20,'Alíquotas ICMS'!$F20)))</f>
        <v>0.3</v>
      </c>
      <c r="I20" s="136">
        <f>IF('Alíquotas ICMS'!$K20&lt;=EOMONTH(I$4,0),'Alíquotas ICMS'!$L20,IF('Alíquotas ICMS'!$I20&lt;=EOMONTH(I$4,0),'Alíquotas ICMS'!$J20,IF('Alíquotas ICMS'!$G20&lt;=EOMONTH(I$4,0),'Alíquotas ICMS'!$H20,'Alíquotas ICMS'!$F20)))</f>
        <v>0.3</v>
      </c>
      <c r="J20" s="136">
        <f>IF('Alíquotas ICMS'!$K20&lt;=EOMONTH(J$4,0),'Alíquotas ICMS'!$L20,IF('Alíquotas ICMS'!$I20&lt;=EOMONTH(J$4,0),'Alíquotas ICMS'!$J20,IF('Alíquotas ICMS'!$G20&lt;=EOMONTH(J$4,0),'Alíquotas ICMS'!$H20,'Alíquotas ICMS'!$F20)))</f>
        <v>0.18</v>
      </c>
      <c r="K20" s="136">
        <f>IF('Alíquotas ICMS'!$K20&lt;=EOMONTH(K$4,0),'Alíquotas ICMS'!$L20,IF('Alíquotas ICMS'!$I20&lt;=EOMONTH(K$4,0),'Alíquotas ICMS'!$J20,IF('Alíquotas ICMS'!$G20&lt;=EOMONTH(K$4,0),'Alíquotas ICMS'!$H20,'Alíquotas ICMS'!$F20)))</f>
        <v>0.18</v>
      </c>
      <c r="L20" s="136">
        <f>IF('Alíquotas ICMS'!$K20&lt;=EOMONTH(L$4,0),'Alíquotas ICMS'!$L20,IF('Alíquotas ICMS'!$I20&lt;=EOMONTH(L$4,0),'Alíquotas ICMS'!$J20,IF('Alíquotas ICMS'!$G20&lt;=EOMONTH(L$4,0),'Alíquotas ICMS'!$H20,'Alíquotas ICMS'!$F20)))</f>
        <v>0.18</v>
      </c>
      <c r="M20" s="136">
        <f>IF('Alíquotas ICMS'!$K20&lt;=EOMONTH(M$4,0),'Alíquotas ICMS'!$L20,IF('Alíquotas ICMS'!$I20&lt;=EOMONTH(M$4,0),'Alíquotas ICMS'!$J20,IF('Alíquotas ICMS'!$G20&lt;=EOMONTH(M$4,0),'Alíquotas ICMS'!$H20,'Alíquotas ICMS'!$F20)))</f>
        <v>0.18</v>
      </c>
      <c r="N20" s="136">
        <f>IF('Alíquotas ICMS'!$K20&lt;=EOMONTH(N$4,0),'Alíquotas ICMS'!$L20,IF('Alíquotas ICMS'!$I20&lt;=EOMONTH(N$4,0),'Alíquotas ICMS'!$J20,IF('Alíquotas ICMS'!$G20&lt;=EOMONTH(N$4,0),'Alíquotas ICMS'!$H20,'Alíquotas ICMS'!$F20)))</f>
        <v>0.18</v>
      </c>
      <c r="O20" s="135">
        <f>IF('Alíquotas ICMS'!$K20&lt;=EOMONTH(O$4,0),'Alíquotas ICMS'!$L20,IF('Alíquotas ICMS'!$I20&lt;=EOMONTH(O$4,0),'Alíquotas ICMS'!$J20,IF('Alíquotas ICMS'!$G20&lt;=EOMONTH(O$4,0),'Alíquotas ICMS'!$H20,'Alíquotas ICMS'!$F20)))</f>
        <v>0.18</v>
      </c>
    </row>
    <row r="21" spans="2:15" x14ac:dyDescent="0.25">
      <c r="B21" s="142" t="str">
        <f>'Alíquotas ICMS'!B21</f>
        <v>PI</v>
      </c>
      <c r="C21" s="141">
        <f>IF('Alíquotas ICMS'!$K21&lt;=EOMONTH(C$4,0),'Alíquotas ICMS'!$L21,IF('Alíquotas ICMS'!$I21&lt;=EOMONTH(C$4,0),'Alíquotas ICMS'!$J21,IF('Alíquotas ICMS'!$G21&lt;=EOMONTH(C$4,0),'Alíquotas ICMS'!$H21,'Alíquotas ICMS'!$F21)))</f>
        <v>0.3</v>
      </c>
      <c r="D21" s="140">
        <f>IF('Alíquotas ICMS'!$K21&lt;=EOMONTH(D$4,0),'Alíquotas ICMS'!$L21,IF('Alíquotas ICMS'!$I21&lt;=EOMONTH(D$4,0),'Alíquotas ICMS'!$J21,IF('Alíquotas ICMS'!$G21&lt;=EOMONTH(D$4,0),'Alíquotas ICMS'!$H21,'Alíquotas ICMS'!$F21)))</f>
        <v>0.3</v>
      </c>
      <c r="E21" s="140">
        <f>IF('Alíquotas ICMS'!$K21&lt;=EOMONTH(E$4,0),'Alíquotas ICMS'!$L21,IF('Alíquotas ICMS'!$I21&lt;=EOMONTH(E$4,0),'Alíquotas ICMS'!$J21,IF('Alíquotas ICMS'!$G21&lt;=EOMONTH(E$4,0),'Alíquotas ICMS'!$H21,'Alíquotas ICMS'!$F21)))</f>
        <v>0.3</v>
      </c>
      <c r="F21" s="140">
        <f>IF('Alíquotas ICMS'!$K21&lt;=EOMONTH(F$4,0),'Alíquotas ICMS'!$L21,IF('Alíquotas ICMS'!$I21&lt;=EOMONTH(F$4,0),'Alíquotas ICMS'!$J21,IF('Alíquotas ICMS'!$G21&lt;=EOMONTH(F$4,0),'Alíquotas ICMS'!$H21,'Alíquotas ICMS'!$F21)))</f>
        <v>0.3</v>
      </c>
      <c r="G21" s="140">
        <f>IF('Alíquotas ICMS'!$K21&lt;=EOMONTH(G$4,0),'Alíquotas ICMS'!$L21,IF('Alíquotas ICMS'!$I21&lt;=EOMONTH(G$4,0),'Alíquotas ICMS'!$J21,IF('Alíquotas ICMS'!$G21&lt;=EOMONTH(G$4,0),'Alíquotas ICMS'!$H21,'Alíquotas ICMS'!$F21)))</f>
        <v>0.3</v>
      </c>
      <c r="H21" s="140">
        <f>IF('Alíquotas ICMS'!$K21&lt;=EOMONTH(H$4,0),'Alíquotas ICMS'!$L21,IF('Alíquotas ICMS'!$I21&lt;=EOMONTH(H$4,0),'Alíquotas ICMS'!$J21,IF('Alíquotas ICMS'!$G21&lt;=EOMONTH(H$4,0),'Alíquotas ICMS'!$H21,'Alíquotas ICMS'!$F21)))</f>
        <v>0.3</v>
      </c>
      <c r="I21" s="140">
        <f>IF('Alíquotas ICMS'!$K21&lt;=EOMONTH(I$4,0),'Alíquotas ICMS'!$L21,IF('Alíquotas ICMS'!$I21&lt;=EOMONTH(I$4,0),'Alíquotas ICMS'!$J21,IF('Alíquotas ICMS'!$G21&lt;=EOMONTH(I$4,0),'Alíquotas ICMS'!$H21,'Alíquotas ICMS'!$F21)))</f>
        <v>0.3</v>
      </c>
      <c r="J21" s="140">
        <f>IF('Alíquotas ICMS'!$K21&lt;=EOMONTH(J$4,0),'Alíquotas ICMS'!$L21,IF('Alíquotas ICMS'!$I21&lt;=EOMONTH(J$4,0),'Alíquotas ICMS'!$J21,IF('Alíquotas ICMS'!$G21&lt;=EOMONTH(J$4,0),'Alíquotas ICMS'!$H21,'Alíquotas ICMS'!$F21)))</f>
        <v>0.18</v>
      </c>
      <c r="K21" s="140">
        <f>IF('Alíquotas ICMS'!$K21&lt;=EOMONTH(K$4,0),'Alíquotas ICMS'!$L21,IF('Alíquotas ICMS'!$I21&lt;=EOMONTH(K$4,0),'Alíquotas ICMS'!$J21,IF('Alíquotas ICMS'!$G21&lt;=EOMONTH(K$4,0),'Alíquotas ICMS'!$H21,'Alíquotas ICMS'!$F21)))</f>
        <v>0.18</v>
      </c>
      <c r="L21" s="140">
        <f>IF('Alíquotas ICMS'!$K21&lt;=EOMONTH(L$4,0),'Alíquotas ICMS'!$L21,IF('Alíquotas ICMS'!$I21&lt;=EOMONTH(L$4,0),'Alíquotas ICMS'!$J21,IF('Alíquotas ICMS'!$G21&lt;=EOMONTH(L$4,0),'Alíquotas ICMS'!$H21,'Alíquotas ICMS'!$F21)))</f>
        <v>0.18</v>
      </c>
      <c r="M21" s="140">
        <f>IF('Alíquotas ICMS'!$K21&lt;=EOMONTH(M$4,0),'Alíquotas ICMS'!$L21,IF('Alíquotas ICMS'!$I21&lt;=EOMONTH(M$4,0),'Alíquotas ICMS'!$J21,IF('Alíquotas ICMS'!$G21&lt;=EOMONTH(M$4,0),'Alíquotas ICMS'!$H21,'Alíquotas ICMS'!$F21)))</f>
        <v>0.18</v>
      </c>
      <c r="N21" s="140">
        <f>IF('Alíquotas ICMS'!$K21&lt;=EOMONTH(N$4,0),'Alíquotas ICMS'!$L21,IF('Alíquotas ICMS'!$I21&lt;=EOMONTH(N$4,0),'Alíquotas ICMS'!$J21,IF('Alíquotas ICMS'!$G21&lt;=EOMONTH(N$4,0),'Alíquotas ICMS'!$H21,'Alíquotas ICMS'!$F21)))</f>
        <v>0.18</v>
      </c>
      <c r="O21" s="139">
        <f>IF('Alíquotas ICMS'!$K21&lt;=EOMONTH(O$4,0),'Alíquotas ICMS'!$L21,IF('Alíquotas ICMS'!$I21&lt;=EOMONTH(O$4,0),'Alíquotas ICMS'!$J21,IF('Alíquotas ICMS'!$G21&lt;=EOMONTH(O$4,0),'Alíquotas ICMS'!$H21,'Alíquotas ICMS'!$F21)))</f>
        <v>0.18</v>
      </c>
    </row>
    <row r="22" spans="2:15" x14ac:dyDescent="0.25">
      <c r="B22" s="138" t="str">
        <f>'Alíquotas ICMS'!B22</f>
        <v>PR</v>
      </c>
      <c r="C22" s="137">
        <f>IF('Alíquotas ICMS'!$K22&lt;=EOMONTH(C$4,0),'Alíquotas ICMS'!$L22,IF('Alíquotas ICMS'!$I22&lt;=EOMONTH(C$4,0),'Alíquotas ICMS'!$J22,IF('Alíquotas ICMS'!$G22&lt;=EOMONTH(C$4,0),'Alíquotas ICMS'!$H22,'Alíquotas ICMS'!$F22)))</f>
        <v>0.28999999999999998</v>
      </c>
      <c r="D22" s="136">
        <f>IF('Alíquotas ICMS'!$K22&lt;=EOMONTH(D$4,0),'Alíquotas ICMS'!$L22,IF('Alíquotas ICMS'!$I22&lt;=EOMONTH(D$4,0),'Alíquotas ICMS'!$J22,IF('Alíquotas ICMS'!$G22&lt;=EOMONTH(D$4,0),'Alíquotas ICMS'!$H22,'Alíquotas ICMS'!$F22)))</f>
        <v>0.28999999999999998</v>
      </c>
      <c r="E22" s="136">
        <f>IF('Alíquotas ICMS'!$K22&lt;=EOMONTH(E$4,0),'Alíquotas ICMS'!$L22,IF('Alíquotas ICMS'!$I22&lt;=EOMONTH(E$4,0),'Alíquotas ICMS'!$J22,IF('Alíquotas ICMS'!$G22&lt;=EOMONTH(E$4,0),'Alíquotas ICMS'!$H22,'Alíquotas ICMS'!$F22)))</f>
        <v>0.28999999999999998</v>
      </c>
      <c r="F22" s="136">
        <f>IF('Alíquotas ICMS'!$K22&lt;=EOMONTH(F$4,0),'Alíquotas ICMS'!$L22,IF('Alíquotas ICMS'!$I22&lt;=EOMONTH(F$4,0),'Alíquotas ICMS'!$J22,IF('Alíquotas ICMS'!$G22&lt;=EOMONTH(F$4,0),'Alíquotas ICMS'!$H22,'Alíquotas ICMS'!$F22)))</f>
        <v>0.28999999999999998</v>
      </c>
      <c r="G22" s="136">
        <f>IF('Alíquotas ICMS'!$K22&lt;=EOMONTH(G$4,0),'Alíquotas ICMS'!$L22,IF('Alíquotas ICMS'!$I22&lt;=EOMONTH(G$4,0),'Alíquotas ICMS'!$J22,IF('Alíquotas ICMS'!$G22&lt;=EOMONTH(G$4,0),'Alíquotas ICMS'!$H22,'Alíquotas ICMS'!$F22)))</f>
        <v>0.28999999999999998</v>
      </c>
      <c r="H22" s="136">
        <f>IF('Alíquotas ICMS'!$K22&lt;=EOMONTH(H$4,0),'Alíquotas ICMS'!$L22,IF('Alíquotas ICMS'!$I22&lt;=EOMONTH(H$4,0),'Alíquotas ICMS'!$J22,IF('Alíquotas ICMS'!$G22&lt;=EOMONTH(H$4,0),'Alíquotas ICMS'!$H22,'Alíquotas ICMS'!$F22)))</f>
        <v>0.28999999999999998</v>
      </c>
      <c r="I22" s="136">
        <f>IF('Alíquotas ICMS'!$K22&lt;=EOMONTH(I$4,0),'Alíquotas ICMS'!$L22,IF('Alíquotas ICMS'!$I22&lt;=EOMONTH(I$4,0),'Alíquotas ICMS'!$J22,IF('Alíquotas ICMS'!$G22&lt;=EOMONTH(I$4,0),'Alíquotas ICMS'!$H22,'Alíquotas ICMS'!$F22)))</f>
        <v>0.18</v>
      </c>
      <c r="J22" s="136">
        <f>IF('Alíquotas ICMS'!$K22&lt;=EOMONTH(J$4,0),'Alíquotas ICMS'!$L22,IF('Alíquotas ICMS'!$I22&lt;=EOMONTH(J$4,0),'Alíquotas ICMS'!$J22,IF('Alíquotas ICMS'!$G22&lt;=EOMONTH(J$4,0),'Alíquotas ICMS'!$H22,'Alíquotas ICMS'!$F22)))</f>
        <v>0.18</v>
      </c>
      <c r="K22" s="136">
        <f>IF('Alíquotas ICMS'!$K22&lt;=EOMONTH(K$4,0),'Alíquotas ICMS'!$L22,IF('Alíquotas ICMS'!$I22&lt;=EOMONTH(K$4,0),'Alíquotas ICMS'!$J22,IF('Alíquotas ICMS'!$G22&lt;=EOMONTH(K$4,0),'Alíquotas ICMS'!$H22,'Alíquotas ICMS'!$F22)))</f>
        <v>0.18</v>
      </c>
      <c r="L22" s="136">
        <f>IF('Alíquotas ICMS'!$K22&lt;=EOMONTH(L$4,0),'Alíquotas ICMS'!$L22,IF('Alíquotas ICMS'!$I22&lt;=EOMONTH(L$4,0),'Alíquotas ICMS'!$J22,IF('Alíquotas ICMS'!$G22&lt;=EOMONTH(L$4,0),'Alíquotas ICMS'!$H22,'Alíquotas ICMS'!$F22)))</f>
        <v>0.18</v>
      </c>
      <c r="M22" s="136">
        <f>IF('Alíquotas ICMS'!$K22&lt;=EOMONTH(M$4,0),'Alíquotas ICMS'!$L22,IF('Alíquotas ICMS'!$I22&lt;=EOMONTH(M$4,0),'Alíquotas ICMS'!$J22,IF('Alíquotas ICMS'!$G22&lt;=EOMONTH(M$4,0),'Alíquotas ICMS'!$H22,'Alíquotas ICMS'!$F22)))</f>
        <v>0.18</v>
      </c>
      <c r="N22" s="136">
        <f>IF('Alíquotas ICMS'!$K22&lt;=EOMONTH(N$4,0),'Alíquotas ICMS'!$L22,IF('Alíquotas ICMS'!$I22&lt;=EOMONTH(N$4,0),'Alíquotas ICMS'!$J22,IF('Alíquotas ICMS'!$G22&lt;=EOMONTH(N$4,0),'Alíquotas ICMS'!$H22,'Alíquotas ICMS'!$F22)))</f>
        <v>0.18</v>
      </c>
      <c r="O22" s="135">
        <f>IF('Alíquotas ICMS'!$K22&lt;=EOMONTH(O$4,0),'Alíquotas ICMS'!$L22,IF('Alíquotas ICMS'!$I22&lt;=EOMONTH(O$4,0),'Alíquotas ICMS'!$J22,IF('Alíquotas ICMS'!$G22&lt;=EOMONTH(O$4,0),'Alíquotas ICMS'!$H22,'Alíquotas ICMS'!$F22)))</f>
        <v>0.18</v>
      </c>
    </row>
    <row r="23" spans="2:15" x14ac:dyDescent="0.25">
      <c r="B23" s="142" t="str">
        <f>'Alíquotas ICMS'!B23</f>
        <v>RJ</v>
      </c>
      <c r="C23" s="141">
        <f>IF('Alíquotas ICMS'!$K23&lt;=EOMONTH(C$4,0),'Alíquotas ICMS'!$L23,IF('Alíquotas ICMS'!$I23&lt;=EOMONTH(C$4,0),'Alíquotas ICMS'!$J23,IF('Alíquotas ICMS'!$G23&lt;=EOMONTH(C$4,0),'Alíquotas ICMS'!$H23,'Alíquotas ICMS'!$F23)))</f>
        <v>0.32</v>
      </c>
      <c r="D23" s="140">
        <f>IF('Alíquotas ICMS'!$K23&lt;=EOMONTH(D$4,0),'Alíquotas ICMS'!$L23,IF('Alíquotas ICMS'!$I23&lt;=EOMONTH(D$4,0),'Alíquotas ICMS'!$J23,IF('Alíquotas ICMS'!$G23&lt;=EOMONTH(D$4,0),'Alíquotas ICMS'!$H23,'Alíquotas ICMS'!$F23)))</f>
        <v>0.32</v>
      </c>
      <c r="E23" s="140">
        <f>IF('Alíquotas ICMS'!$K23&lt;=EOMONTH(E$4,0),'Alíquotas ICMS'!$L23,IF('Alíquotas ICMS'!$I23&lt;=EOMONTH(E$4,0),'Alíquotas ICMS'!$J23,IF('Alíquotas ICMS'!$G23&lt;=EOMONTH(E$4,0),'Alíquotas ICMS'!$H23,'Alíquotas ICMS'!$F23)))</f>
        <v>0.32</v>
      </c>
      <c r="F23" s="140">
        <f>IF('Alíquotas ICMS'!$K23&lt;=EOMONTH(F$4,0),'Alíquotas ICMS'!$L23,IF('Alíquotas ICMS'!$I23&lt;=EOMONTH(F$4,0),'Alíquotas ICMS'!$J23,IF('Alíquotas ICMS'!$G23&lt;=EOMONTH(F$4,0),'Alíquotas ICMS'!$H23,'Alíquotas ICMS'!$F23)))</f>
        <v>0.32</v>
      </c>
      <c r="G23" s="140">
        <f>IF('Alíquotas ICMS'!$K23&lt;=EOMONTH(G$4,0),'Alíquotas ICMS'!$L23,IF('Alíquotas ICMS'!$I23&lt;=EOMONTH(G$4,0),'Alíquotas ICMS'!$J23,IF('Alíquotas ICMS'!$G23&lt;=EOMONTH(G$4,0),'Alíquotas ICMS'!$H23,'Alíquotas ICMS'!$F23)))</f>
        <v>0.32</v>
      </c>
      <c r="H23" s="140">
        <f>IF('Alíquotas ICMS'!$K23&lt;=EOMONTH(H$4,0),'Alíquotas ICMS'!$L23,IF('Alíquotas ICMS'!$I23&lt;=EOMONTH(H$4,0),'Alíquotas ICMS'!$J23,IF('Alíquotas ICMS'!$G23&lt;=EOMONTH(H$4,0),'Alíquotas ICMS'!$H23,'Alíquotas ICMS'!$F23)))</f>
        <v>0.32</v>
      </c>
      <c r="I23" s="140">
        <f>IF('Alíquotas ICMS'!$K23&lt;=EOMONTH(I$4,0),'Alíquotas ICMS'!$L23,IF('Alíquotas ICMS'!$I23&lt;=EOMONTH(I$4,0),'Alíquotas ICMS'!$J23,IF('Alíquotas ICMS'!$G23&lt;=EOMONTH(I$4,0),'Alíquotas ICMS'!$H23,'Alíquotas ICMS'!$F23)))</f>
        <v>0.32</v>
      </c>
      <c r="J23" s="140">
        <f>IF('Alíquotas ICMS'!$K23&lt;=EOMONTH(J$4,0),'Alíquotas ICMS'!$L23,IF('Alíquotas ICMS'!$I23&lt;=EOMONTH(J$4,0),'Alíquotas ICMS'!$J23,IF('Alíquotas ICMS'!$G23&lt;=EOMONTH(J$4,0),'Alíquotas ICMS'!$H23,'Alíquotas ICMS'!$F23)))</f>
        <v>0.22</v>
      </c>
      <c r="K23" s="140">
        <f>IF('Alíquotas ICMS'!$K23&lt;=EOMONTH(K$4,0),'Alíquotas ICMS'!$L23,IF('Alíquotas ICMS'!$I23&lt;=EOMONTH(K$4,0),'Alíquotas ICMS'!$J23,IF('Alíquotas ICMS'!$G23&lt;=EOMONTH(K$4,0),'Alíquotas ICMS'!$H23,'Alíquotas ICMS'!$F23)))</f>
        <v>0.22</v>
      </c>
      <c r="L23" s="140">
        <f>IF('Alíquotas ICMS'!$K23&lt;=EOMONTH(L$4,0),'Alíquotas ICMS'!$L23,IF('Alíquotas ICMS'!$I23&lt;=EOMONTH(L$4,0),'Alíquotas ICMS'!$J23,IF('Alíquotas ICMS'!$G23&lt;=EOMONTH(L$4,0),'Alíquotas ICMS'!$H23,'Alíquotas ICMS'!$F23)))</f>
        <v>0.22</v>
      </c>
      <c r="M23" s="140">
        <f>IF('Alíquotas ICMS'!$K23&lt;=EOMONTH(M$4,0),'Alíquotas ICMS'!$L23,IF('Alíquotas ICMS'!$I23&lt;=EOMONTH(M$4,0),'Alíquotas ICMS'!$J23,IF('Alíquotas ICMS'!$G23&lt;=EOMONTH(M$4,0),'Alíquotas ICMS'!$H23,'Alíquotas ICMS'!$F23)))</f>
        <v>0.22</v>
      </c>
      <c r="N23" s="140">
        <f>IF('Alíquotas ICMS'!$K23&lt;=EOMONTH(N$4,0),'Alíquotas ICMS'!$L23,IF('Alíquotas ICMS'!$I23&lt;=EOMONTH(N$4,0),'Alíquotas ICMS'!$J23,IF('Alíquotas ICMS'!$G23&lt;=EOMONTH(N$4,0),'Alíquotas ICMS'!$H23,'Alíquotas ICMS'!$F23)))</f>
        <v>0.22</v>
      </c>
      <c r="O23" s="139">
        <f>IF('Alíquotas ICMS'!$K23&lt;=EOMONTH(O$4,0),'Alíquotas ICMS'!$L23,IF('Alíquotas ICMS'!$I23&lt;=EOMONTH(O$4,0),'Alíquotas ICMS'!$J23,IF('Alíquotas ICMS'!$G23&lt;=EOMONTH(O$4,0),'Alíquotas ICMS'!$H23,'Alíquotas ICMS'!$F23)))</f>
        <v>0.22</v>
      </c>
    </row>
    <row r="24" spans="2:15" x14ac:dyDescent="0.25">
      <c r="B24" s="138" t="str">
        <f>'Alíquotas ICMS'!B24</f>
        <v>RN</v>
      </c>
      <c r="C24" s="137">
        <f>IF('Alíquotas ICMS'!$K24&lt;=EOMONTH(C$4,0),'Alíquotas ICMS'!$L24,IF('Alíquotas ICMS'!$I24&lt;=EOMONTH(C$4,0),'Alíquotas ICMS'!$J24,IF('Alíquotas ICMS'!$G24&lt;=EOMONTH(C$4,0),'Alíquotas ICMS'!$H24,'Alíquotas ICMS'!$F24)))</f>
        <v>0.3</v>
      </c>
      <c r="D24" s="136">
        <f>IF('Alíquotas ICMS'!$K24&lt;=EOMONTH(D$4,0),'Alíquotas ICMS'!$L24,IF('Alíquotas ICMS'!$I24&lt;=EOMONTH(D$4,0),'Alíquotas ICMS'!$J24,IF('Alíquotas ICMS'!$G24&lt;=EOMONTH(D$4,0),'Alíquotas ICMS'!$H24,'Alíquotas ICMS'!$F24)))</f>
        <v>0.3</v>
      </c>
      <c r="E24" s="136">
        <f>IF('Alíquotas ICMS'!$K24&lt;=EOMONTH(E$4,0),'Alíquotas ICMS'!$L24,IF('Alíquotas ICMS'!$I24&lt;=EOMONTH(E$4,0),'Alíquotas ICMS'!$J24,IF('Alíquotas ICMS'!$G24&lt;=EOMONTH(E$4,0),'Alíquotas ICMS'!$H24,'Alíquotas ICMS'!$F24)))</f>
        <v>0.3</v>
      </c>
      <c r="F24" s="136">
        <f>IF('Alíquotas ICMS'!$K24&lt;=EOMONTH(F$4,0),'Alíquotas ICMS'!$L24,IF('Alíquotas ICMS'!$I24&lt;=EOMONTH(F$4,0),'Alíquotas ICMS'!$J24,IF('Alíquotas ICMS'!$G24&lt;=EOMONTH(F$4,0),'Alíquotas ICMS'!$H24,'Alíquotas ICMS'!$F24)))</f>
        <v>0.3</v>
      </c>
      <c r="G24" s="136">
        <f>IF('Alíquotas ICMS'!$K24&lt;=EOMONTH(G$4,0),'Alíquotas ICMS'!$L24,IF('Alíquotas ICMS'!$I24&lt;=EOMONTH(G$4,0),'Alíquotas ICMS'!$J24,IF('Alíquotas ICMS'!$G24&lt;=EOMONTH(G$4,0),'Alíquotas ICMS'!$H24,'Alíquotas ICMS'!$F24)))</f>
        <v>0.3</v>
      </c>
      <c r="H24" s="136">
        <f>IF('Alíquotas ICMS'!$K24&lt;=EOMONTH(H$4,0),'Alíquotas ICMS'!$L24,IF('Alíquotas ICMS'!$I24&lt;=EOMONTH(H$4,0),'Alíquotas ICMS'!$J24,IF('Alíquotas ICMS'!$G24&lt;=EOMONTH(H$4,0),'Alíquotas ICMS'!$H24,'Alíquotas ICMS'!$F24)))</f>
        <v>0.3</v>
      </c>
      <c r="I24" s="136">
        <f>IF('Alíquotas ICMS'!$K24&lt;=EOMONTH(I$4,0),'Alíquotas ICMS'!$L24,IF('Alíquotas ICMS'!$I24&lt;=EOMONTH(I$4,0),'Alíquotas ICMS'!$J24,IF('Alíquotas ICMS'!$G24&lt;=EOMONTH(I$4,0),'Alíquotas ICMS'!$H24,'Alíquotas ICMS'!$F24)))</f>
        <v>0.18</v>
      </c>
      <c r="J24" s="136">
        <f>IF('Alíquotas ICMS'!$K24&lt;=EOMONTH(J$4,0),'Alíquotas ICMS'!$L24,IF('Alíquotas ICMS'!$I24&lt;=EOMONTH(J$4,0),'Alíquotas ICMS'!$J24,IF('Alíquotas ICMS'!$G24&lt;=EOMONTH(J$4,0),'Alíquotas ICMS'!$H24,'Alíquotas ICMS'!$F24)))</f>
        <v>0.18</v>
      </c>
      <c r="K24" s="136">
        <f>IF('Alíquotas ICMS'!$K24&lt;=EOMONTH(K$4,0),'Alíquotas ICMS'!$L24,IF('Alíquotas ICMS'!$I24&lt;=EOMONTH(K$4,0),'Alíquotas ICMS'!$J24,IF('Alíquotas ICMS'!$G24&lt;=EOMONTH(K$4,0),'Alíquotas ICMS'!$H24,'Alíquotas ICMS'!$F24)))</f>
        <v>0.18</v>
      </c>
      <c r="L24" s="136">
        <f>IF('Alíquotas ICMS'!$K24&lt;=EOMONTH(L$4,0),'Alíquotas ICMS'!$L24,IF('Alíquotas ICMS'!$I24&lt;=EOMONTH(L$4,0),'Alíquotas ICMS'!$J24,IF('Alíquotas ICMS'!$G24&lt;=EOMONTH(L$4,0),'Alíquotas ICMS'!$H24,'Alíquotas ICMS'!$F24)))</f>
        <v>0.18</v>
      </c>
      <c r="M24" s="136">
        <f>IF('Alíquotas ICMS'!$K24&lt;=EOMONTH(M$4,0),'Alíquotas ICMS'!$L24,IF('Alíquotas ICMS'!$I24&lt;=EOMONTH(M$4,0),'Alíquotas ICMS'!$J24,IF('Alíquotas ICMS'!$G24&lt;=EOMONTH(M$4,0),'Alíquotas ICMS'!$H24,'Alíquotas ICMS'!$F24)))</f>
        <v>0.18</v>
      </c>
      <c r="N24" s="136">
        <f>IF('Alíquotas ICMS'!$K24&lt;=EOMONTH(N$4,0),'Alíquotas ICMS'!$L24,IF('Alíquotas ICMS'!$I24&lt;=EOMONTH(N$4,0),'Alíquotas ICMS'!$J24,IF('Alíquotas ICMS'!$G24&lt;=EOMONTH(N$4,0),'Alíquotas ICMS'!$H24,'Alíquotas ICMS'!$F24)))</f>
        <v>0.18</v>
      </c>
      <c r="O24" s="135">
        <f>IF('Alíquotas ICMS'!$K24&lt;=EOMONTH(O$4,0),'Alíquotas ICMS'!$L24,IF('Alíquotas ICMS'!$I24&lt;=EOMONTH(O$4,0),'Alíquotas ICMS'!$J24,IF('Alíquotas ICMS'!$G24&lt;=EOMONTH(O$4,0),'Alíquotas ICMS'!$H24,'Alíquotas ICMS'!$F24)))</f>
        <v>0.18</v>
      </c>
    </row>
    <row r="25" spans="2:15" x14ac:dyDescent="0.25">
      <c r="B25" s="142" t="str">
        <f>'Alíquotas ICMS'!B25</f>
        <v>RO</v>
      </c>
      <c r="C25" s="141">
        <f>IF('Alíquotas ICMS'!$K25&lt;=EOMONTH(C$4,0),'Alíquotas ICMS'!$L25,IF('Alíquotas ICMS'!$I25&lt;=EOMONTH(C$4,0),'Alíquotas ICMS'!$J25,IF('Alíquotas ICMS'!$G25&lt;=EOMONTH(C$4,0),'Alíquotas ICMS'!$H25,'Alíquotas ICMS'!$F25)))</f>
        <v>0.35</v>
      </c>
      <c r="D25" s="140">
        <f>IF('Alíquotas ICMS'!$K25&lt;=EOMONTH(D$4,0),'Alíquotas ICMS'!$L25,IF('Alíquotas ICMS'!$I25&lt;=EOMONTH(D$4,0),'Alíquotas ICMS'!$J25,IF('Alíquotas ICMS'!$G25&lt;=EOMONTH(D$4,0),'Alíquotas ICMS'!$H25,'Alíquotas ICMS'!$F25)))</f>
        <v>0.35</v>
      </c>
      <c r="E25" s="140">
        <f>IF('Alíquotas ICMS'!$K25&lt;=EOMONTH(E$4,0),'Alíquotas ICMS'!$L25,IF('Alíquotas ICMS'!$I25&lt;=EOMONTH(E$4,0),'Alíquotas ICMS'!$J25,IF('Alíquotas ICMS'!$G25&lt;=EOMONTH(E$4,0),'Alíquotas ICMS'!$H25,'Alíquotas ICMS'!$F25)))</f>
        <v>0.35</v>
      </c>
      <c r="F25" s="140">
        <f>IF('Alíquotas ICMS'!$K25&lt;=EOMONTH(F$4,0),'Alíquotas ICMS'!$L25,IF('Alíquotas ICMS'!$I25&lt;=EOMONTH(F$4,0),'Alíquotas ICMS'!$J25,IF('Alíquotas ICMS'!$G25&lt;=EOMONTH(F$4,0),'Alíquotas ICMS'!$H25,'Alíquotas ICMS'!$F25)))</f>
        <v>0.35</v>
      </c>
      <c r="G25" s="140">
        <f>IF('Alíquotas ICMS'!$K25&lt;=EOMONTH(G$4,0),'Alíquotas ICMS'!$L25,IF('Alíquotas ICMS'!$I25&lt;=EOMONTH(G$4,0),'Alíquotas ICMS'!$J25,IF('Alíquotas ICMS'!$G25&lt;=EOMONTH(G$4,0),'Alíquotas ICMS'!$H25,'Alíquotas ICMS'!$F25)))</f>
        <v>0.35</v>
      </c>
      <c r="H25" s="140">
        <f>IF('Alíquotas ICMS'!$K25&lt;=EOMONTH(H$4,0),'Alíquotas ICMS'!$L25,IF('Alíquotas ICMS'!$I25&lt;=EOMONTH(H$4,0),'Alíquotas ICMS'!$J25,IF('Alíquotas ICMS'!$G25&lt;=EOMONTH(H$4,0),'Alíquotas ICMS'!$H25,'Alíquotas ICMS'!$F25)))</f>
        <v>0.35</v>
      </c>
      <c r="I25" s="140">
        <f>IF('Alíquotas ICMS'!$K25&lt;=EOMONTH(I$4,0),'Alíquotas ICMS'!$L25,IF('Alíquotas ICMS'!$I25&lt;=EOMONTH(I$4,0),'Alíquotas ICMS'!$J25,IF('Alíquotas ICMS'!$G25&lt;=EOMONTH(I$4,0),'Alíquotas ICMS'!$H25,'Alíquotas ICMS'!$F25)))</f>
        <v>0.17499999999999999</v>
      </c>
      <c r="J25" s="140">
        <f>IF('Alíquotas ICMS'!$K25&lt;=EOMONTH(J$4,0),'Alíquotas ICMS'!$L25,IF('Alíquotas ICMS'!$I25&lt;=EOMONTH(J$4,0),'Alíquotas ICMS'!$J25,IF('Alíquotas ICMS'!$G25&lt;=EOMONTH(J$4,0),'Alíquotas ICMS'!$H25,'Alíquotas ICMS'!$F25)))</f>
        <v>0.17499999999999999</v>
      </c>
      <c r="K25" s="140">
        <f>IF('Alíquotas ICMS'!$K25&lt;=EOMONTH(K$4,0),'Alíquotas ICMS'!$L25,IF('Alíquotas ICMS'!$I25&lt;=EOMONTH(K$4,0),'Alíquotas ICMS'!$J25,IF('Alíquotas ICMS'!$G25&lt;=EOMONTH(K$4,0),'Alíquotas ICMS'!$H25,'Alíquotas ICMS'!$F25)))</f>
        <v>0.17499999999999999</v>
      </c>
      <c r="L25" s="140">
        <f>IF('Alíquotas ICMS'!$K25&lt;=EOMONTH(L$4,0),'Alíquotas ICMS'!$L25,IF('Alíquotas ICMS'!$I25&lt;=EOMONTH(L$4,0),'Alíquotas ICMS'!$J25,IF('Alíquotas ICMS'!$G25&lt;=EOMONTH(L$4,0),'Alíquotas ICMS'!$H25,'Alíquotas ICMS'!$F25)))</f>
        <v>0.17499999999999999</v>
      </c>
      <c r="M25" s="140">
        <f>IF('Alíquotas ICMS'!$K25&lt;=EOMONTH(M$4,0),'Alíquotas ICMS'!$L25,IF('Alíquotas ICMS'!$I25&lt;=EOMONTH(M$4,0),'Alíquotas ICMS'!$J25,IF('Alíquotas ICMS'!$G25&lt;=EOMONTH(M$4,0),'Alíquotas ICMS'!$H25,'Alíquotas ICMS'!$F25)))</f>
        <v>0.17499999999999999</v>
      </c>
      <c r="N25" s="140">
        <f>IF('Alíquotas ICMS'!$K25&lt;=EOMONTH(N$4,0),'Alíquotas ICMS'!$L25,IF('Alíquotas ICMS'!$I25&lt;=EOMONTH(N$4,0),'Alíquotas ICMS'!$J25,IF('Alíquotas ICMS'!$G25&lt;=EOMONTH(N$4,0),'Alíquotas ICMS'!$H25,'Alíquotas ICMS'!$F25)))</f>
        <v>0.17499999999999999</v>
      </c>
      <c r="O25" s="139">
        <f>IF('Alíquotas ICMS'!$K25&lt;=EOMONTH(O$4,0),'Alíquotas ICMS'!$L25,IF('Alíquotas ICMS'!$I25&lt;=EOMONTH(O$4,0),'Alíquotas ICMS'!$J25,IF('Alíquotas ICMS'!$G25&lt;=EOMONTH(O$4,0),'Alíquotas ICMS'!$H25,'Alíquotas ICMS'!$F25)))</f>
        <v>0.17499999999999999</v>
      </c>
    </row>
    <row r="26" spans="2:15" x14ac:dyDescent="0.25">
      <c r="B26" s="138" t="str">
        <f>'Alíquotas ICMS'!B26</f>
        <v>RR</v>
      </c>
      <c r="C26" s="137">
        <f>IF('Alíquotas ICMS'!$K26&lt;=EOMONTH(C$4,0),'Alíquotas ICMS'!$L26,IF('Alíquotas ICMS'!$I26&lt;=EOMONTH(C$4,0),'Alíquotas ICMS'!$J26,IF('Alíquotas ICMS'!$G26&lt;=EOMONTH(C$4,0),'Alíquotas ICMS'!$H26,'Alíquotas ICMS'!$F26)))</f>
        <v>0.25</v>
      </c>
      <c r="D26" s="136">
        <f>IF('Alíquotas ICMS'!$K26&lt;=EOMONTH(D$4,0),'Alíquotas ICMS'!$L26,IF('Alíquotas ICMS'!$I26&lt;=EOMONTH(D$4,0),'Alíquotas ICMS'!$J26,IF('Alíquotas ICMS'!$G26&lt;=EOMONTH(D$4,0),'Alíquotas ICMS'!$H26,'Alíquotas ICMS'!$F26)))</f>
        <v>0.25</v>
      </c>
      <c r="E26" s="136">
        <f>IF('Alíquotas ICMS'!$K26&lt;=EOMONTH(E$4,0),'Alíquotas ICMS'!$L26,IF('Alíquotas ICMS'!$I26&lt;=EOMONTH(E$4,0),'Alíquotas ICMS'!$J26,IF('Alíquotas ICMS'!$G26&lt;=EOMONTH(E$4,0),'Alíquotas ICMS'!$H26,'Alíquotas ICMS'!$F26)))</f>
        <v>0.25</v>
      </c>
      <c r="F26" s="136">
        <f>IF('Alíquotas ICMS'!$K26&lt;=EOMONTH(F$4,0),'Alíquotas ICMS'!$L26,IF('Alíquotas ICMS'!$I26&lt;=EOMONTH(F$4,0),'Alíquotas ICMS'!$J26,IF('Alíquotas ICMS'!$G26&lt;=EOMONTH(F$4,0),'Alíquotas ICMS'!$H26,'Alíquotas ICMS'!$F26)))</f>
        <v>0.25</v>
      </c>
      <c r="G26" s="136">
        <f>IF('Alíquotas ICMS'!$K26&lt;=EOMONTH(G$4,0),'Alíquotas ICMS'!$L26,IF('Alíquotas ICMS'!$I26&lt;=EOMONTH(G$4,0),'Alíquotas ICMS'!$J26,IF('Alíquotas ICMS'!$G26&lt;=EOMONTH(G$4,0),'Alíquotas ICMS'!$H26,'Alíquotas ICMS'!$F26)))</f>
        <v>0.25</v>
      </c>
      <c r="H26" s="136">
        <f>IF('Alíquotas ICMS'!$K26&lt;=EOMONTH(H$4,0),'Alíquotas ICMS'!$L26,IF('Alíquotas ICMS'!$I26&lt;=EOMONTH(H$4,0),'Alíquotas ICMS'!$J26,IF('Alíquotas ICMS'!$G26&lt;=EOMONTH(H$4,0),'Alíquotas ICMS'!$H26,'Alíquotas ICMS'!$F26)))</f>
        <v>0.25</v>
      </c>
      <c r="I26" s="136">
        <f>IF('Alíquotas ICMS'!$K26&lt;=EOMONTH(I$4,0),'Alíquotas ICMS'!$L26,IF('Alíquotas ICMS'!$I26&lt;=EOMONTH(I$4,0),'Alíquotas ICMS'!$J26,IF('Alíquotas ICMS'!$G26&lt;=EOMONTH(I$4,0),'Alíquotas ICMS'!$H26,'Alíquotas ICMS'!$F26)))</f>
        <v>0.25</v>
      </c>
      <c r="J26" s="136">
        <f>IF('Alíquotas ICMS'!$K26&lt;=EOMONTH(J$4,0),'Alíquotas ICMS'!$L26,IF('Alíquotas ICMS'!$I26&lt;=EOMONTH(J$4,0),'Alíquotas ICMS'!$J26,IF('Alíquotas ICMS'!$G26&lt;=EOMONTH(J$4,0),'Alíquotas ICMS'!$H26,'Alíquotas ICMS'!$F26)))</f>
        <v>0.17</v>
      </c>
      <c r="K26" s="136">
        <f>IF('Alíquotas ICMS'!$K26&lt;=EOMONTH(K$4,0),'Alíquotas ICMS'!$L26,IF('Alíquotas ICMS'!$I26&lt;=EOMONTH(K$4,0),'Alíquotas ICMS'!$J26,IF('Alíquotas ICMS'!$G26&lt;=EOMONTH(K$4,0),'Alíquotas ICMS'!$H26,'Alíquotas ICMS'!$F26)))</f>
        <v>0.17</v>
      </c>
      <c r="L26" s="136">
        <f>IF('Alíquotas ICMS'!$K26&lt;=EOMONTH(L$4,0),'Alíquotas ICMS'!$L26,IF('Alíquotas ICMS'!$I26&lt;=EOMONTH(L$4,0),'Alíquotas ICMS'!$J26,IF('Alíquotas ICMS'!$G26&lt;=EOMONTH(L$4,0),'Alíquotas ICMS'!$H26,'Alíquotas ICMS'!$F26)))</f>
        <v>0.17</v>
      </c>
      <c r="M26" s="136">
        <f>IF('Alíquotas ICMS'!$K26&lt;=EOMONTH(M$4,0),'Alíquotas ICMS'!$L26,IF('Alíquotas ICMS'!$I26&lt;=EOMONTH(M$4,0),'Alíquotas ICMS'!$J26,IF('Alíquotas ICMS'!$G26&lt;=EOMONTH(M$4,0),'Alíquotas ICMS'!$H26,'Alíquotas ICMS'!$F26)))</f>
        <v>0.17</v>
      </c>
      <c r="N26" s="136">
        <f>IF('Alíquotas ICMS'!$K26&lt;=EOMONTH(N$4,0),'Alíquotas ICMS'!$L26,IF('Alíquotas ICMS'!$I26&lt;=EOMONTH(N$4,0),'Alíquotas ICMS'!$J26,IF('Alíquotas ICMS'!$G26&lt;=EOMONTH(N$4,0),'Alíquotas ICMS'!$H26,'Alíquotas ICMS'!$F26)))</f>
        <v>0.17</v>
      </c>
      <c r="O26" s="135">
        <f>IF('Alíquotas ICMS'!$K26&lt;=EOMONTH(O$4,0),'Alíquotas ICMS'!$L26,IF('Alíquotas ICMS'!$I26&lt;=EOMONTH(O$4,0),'Alíquotas ICMS'!$J26,IF('Alíquotas ICMS'!$G26&lt;=EOMONTH(O$4,0),'Alíquotas ICMS'!$H26,'Alíquotas ICMS'!$F26)))</f>
        <v>0.17</v>
      </c>
    </row>
    <row r="27" spans="2:15" x14ac:dyDescent="0.25">
      <c r="B27" s="142" t="str">
        <f>'Alíquotas ICMS'!B27</f>
        <v>RS</v>
      </c>
      <c r="C27" s="141">
        <f>IF('Alíquotas ICMS'!$K27&lt;=EOMONTH(C$4,0),'Alíquotas ICMS'!$L27,IF('Alíquotas ICMS'!$I27&lt;=EOMONTH(C$4,0),'Alíquotas ICMS'!$J27,IF('Alíquotas ICMS'!$G27&lt;=EOMONTH(C$4,0),'Alíquotas ICMS'!$H27,'Alíquotas ICMS'!$F27)))</f>
        <v>0.25</v>
      </c>
      <c r="D27" s="140">
        <f>IF('Alíquotas ICMS'!$K27&lt;=EOMONTH(D$4,0),'Alíquotas ICMS'!$L27,IF('Alíquotas ICMS'!$I27&lt;=EOMONTH(D$4,0),'Alíquotas ICMS'!$J27,IF('Alíquotas ICMS'!$G27&lt;=EOMONTH(D$4,0),'Alíquotas ICMS'!$H27,'Alíquotas ICMS'!$F27)))</f>
        <v>0.25</v>
      </c>
      <c r="E27" s="140">
        <f>IF('Alíquotas ICMS'!$K27&lt;=EOMONTH(E$4,0),'Alíquotas ICMS'!$L27,IF('Alíquotas ICMS'!$I27&lt;=EOMONTH(E$4,0),'Alíquotas ICMS'!$J27,IF('Alíquotas ICMS'!$G27&lt;=EOMONTH(E$4,0),'Alíquotas ICMS'!$H27,'Alíquotas ICMS'!$F27)))</f>
        <v>0.25</v>
      </c>
      <c r="F27" s="140">
        <f>IF('Alíquotas ICMS'!$K27&lt;=EOMONTH(F$4,0),'Alíquotas ICMS'!$L27,IF('Alíquotas ICMS'!$I27&lt;=EOMONTH(F$4,0),'Alíquotas ICMS'!$J27,IF('Alíquotas ICMS'!$G27&lt;=EOMONTH(F$4,0),'Alíquotas ICMS'!$H27,'Alíquotas ICMS'!$F27)))</f>
        <v>0.25</v>
      </c>
      <c r="G27" s="140">
        <f>IF('Alíquotas ICMS'!$K27&lt;=EOMONTH(G$4,0),'Alíquotas ICMS'!$L27,IF('Alíquotas ICMS'!$I27&lt;=EOMONTH(G$4,0),'Alíquotas ICMS'!$J27,IF('Alíquotas ICMS'!$G27&lt;=EOMONTH(G$4,0),'Alíquotas ICMS'!$H27,'Alíquotas ICMS'!$F27)))</f>
        <v>0.25</v>
      </c>
      <c r="H27" s="140">
        <f>IF('Alíquotas ICMS'!$K27&lt;=EOMONTH(H$4,0),'Alíquotas ICMS'!$L27,IF('Alíquotas ICMS'!$I27&lt;=EOMONTH(H$4,0),'Alíquotas ICMS'!$J27,IF('Alíquotas ICMS'!$G27&lt;=EOMONTH(H$4,0),'Alíquotas ICMS'!$H27,'Alíquotas ICMS'!$F27)))</f>
        <v>0.25</v>
      </c>
      <c r="I27" s="140">
        <f>IF('Alíquotas ICMS'!$K27&lt;=EOMONTH(I$4,0),'Alíquotas ICMS'!$L27,IF('Alíquotas ICMS'!$I27&lt;=EOMONTH(I$4,0),'Alíquotas ICMS'!$J27,IF('Alíquotas ICMS'!$G27&lt;=EOMONTH(I$4,0),'Alíquotas ICMS'!$H27,'Alíquotas ICMS'!$F27)))</f>
        <v>0.17</v>
      </c>
      <c r="J27" s="140">
        <f>IF('Alíquotas ICMS'!$K27&lt;=EOMONTH(J$4,0),'Alíquotas ICMS'!$L27,IF('Alíquotas ICMS'!$I27&lt;=EOMONTH(J$4,0),'Alíquotas ICMS'!$J27,IF('Alíquotas ICMS'!$G27&lt;=EOMONTH(J$4,0),'Alíquotas ICMS'!$H27,'Alíquotas ICMS'!$F27)))</f>
        <v>0.17</v>
      </c>
      <c r="K27" s="140">
        <f>IF('Alíquotas ICMS'!$K27&lt;=EOMONTH(K$4,0),'Alíquotas ICMS'!$L27,IF('Alíquotas ICMS'!$I27&lt;=EOMONTH(K$4,0),'Alíquotas ICMS'!$J27,IF('Alíquotas ICMS'!$G27&lt;=EOMONTH(K$4,0),'Alíquotas ICMS'!$H27,'Alíquotas ICMS'!$F27)))</f>
        <v>0.17</v>
      </c>
      <c r="L27" s="140">
        <f>IF('Alíquotas ICMS'!$K27&lt;=EOMONTH(L$4,0),'Alíquotas ICMS'!$L27,IF('Alíquotas ICMS'!$I27&lt;=EOMONTH(L$4,0),'Alíquotas ICMS'!$J27,IF('Alíquotas ICMS'!$G27&lt;=EOMONTH(L$4,0),'Alíquotas ICMS'!$H27,'Alíquotas ICMS'!$F27)))</f>
        <v>0.17</v>
      </c>
      <c r="M27" s="140">
        <f>IF('Alíquotas ICMS'!$K27&lt;=EOMONTH(M$4,0),'Alíquotas ICMS'!$L27,IF('Alíquotas ICMS'!$I27&lt;=EOMONTH(M$4,0),'Alíquotas ICMS'!$J27,IF('Alíquotas ICMS'!$G27&lt;=EOMONTH(M$4,0),'Alíquotas ICMS'!$H27,'Alíquotas ICMS'!$F27)))</f>
        <v>0.17</v>
      </c>
      <c r="N27" s="140">
        <f>IF('Alíquotas ICMS'!$K27&lt;=EOMONTH(N$4,0),'Alíquotas ICMS'!$L27,IF('Alíquotas ICMS'!$I27&lt;=EOMONTH(N$4,0),'Alíquotas ICMS'!$J27,IF('Alíquotas ICMS'!$G27&lt;=EOMONTH(N$4,0),'Alíquotas ICMS'!$H27,'Alíquotas ICMS'!$F27)))</f>
        <v>0.17</v>
      </c>
      <c r="O27" s="139">
        <f>IF('Alíquotas ICMS'!$K27&lt;=EOMONTH(O$4,0),'Alíquotas ICMS'!$L27,IF('Alíquotas ICMS'!$I27&lt;=EOMONTH(O$4,0),'Alíquotas ICMS'!$J27,IF('Alíquotas ICMS'!$G27&lt;=EOMONTH(O$4,0),'Alíquotas ICMS'!$H27,'Alíquotas ICMS'!$F27)))</f>
        <v>0.17</v>
      </c>
    </row>
    <row r="28" spans="2:15" x14ac:dyDescent="0.25">
      <c r="B28" s="138" t="str">
        <f>'Alíquotas ICMS'!B28</f>
        <v>SC</v>
      </c>
      <c r="C28" s="137">
        <f>IF('Alíquotas ICMS'!$K28&lt;=EOMONTH(C$4,0),'Alíquotas ICMS'!$L28,IF('Alíquotas ICMS'!$I28&lt;=EOMONTH(C$4,0),'Alíquotas ICMS'!$J28,IF('Alíquotas ICMS'!$G28&lt;=EOMONTH(C$4,0),'Alíquotas ICMS'!$H28,'Alíquotas ICMS'!$F28)))</f>
        <v>0.25</v>
      </c>
      <c r="D28" s="136">
        <f>IF('Alíquotas ICMS'!$K28&lt;=EOMONTH(D$4,0),'Alíquotas ICMS'!$L28,IF('Alíquotas ICMS'!$I28&lt;=EOMONTH(D$4,0),'Alíquotas ICMS'!$J28,IF('Alíquotas ICMS'!$G28&lt;=EOMONTH(D$4,0),'Alíquotas ICMS'!$H28,'Alíquotas ICMS'!$F28)))</f>
        <v>0.25</v>
      </c>
      <c r="E28" s="136">
        <f>IF('Alíquotas ICMS'!$K28&lt;=EOMONTH(E$4,0),'Alíquotas ICMS'!$L28,IF('Alíquotas ICMS'!$I28&lt;=EOMONTH(E$4,0),'Alíquotas ICMS'!$J28,IF('Alíquotas ICMS'!$G28&lt;=EOMONTH(E$4,0),'Alíquotas ICMS'!$H28,'Alíquotas ICMS'!$F28)))</f>
        <v>0.25</v>
      </c>
      <c r="F28" s="136">
        <f>IF('Alíquotas ICMS'!$K28&lt;=EOMONTH(F$4,0),'Alíquotas ICMS'!$L28,IF('Alíquotas ICMS'!$I28&lt;=EOMONTH(F$4,0),'Alíquotas ICMS'!$J28,IF('Alíquotas ICMS'!$G28&lt;=EOMONTH(F$4,0),'Alíquotas ICMS'!$H28,'Alíquotas ICMS'!$F28)))</f>
        <v>0.25</v>
      </c>
      <c r="G28" s="136">
        <f>IF('Alíquotas ICMS'!$K28&lt;=EOMONTH(G$4,0),'Alíquotas ICMS'!$L28,IF('Alíquotas ICMS'!$I28&lt;=EOMONTH(G$4,0),'Alíquotas ICMS'!$J28,IF('Alíquotas ICMS'!$G28&lt;=EOMONTH(G$4,0),'Alíquotas ICMS'!$H28,'Alíquotas ICMS'!$F28)))</f>
        <v>0.25</v>
      </c>
      <c r="H28" s="136">
        <f>IF('Alíquotas ICMS'!$K28&lt;=EOMONTH(H$4,0),'Alíquotas ICMS'!$L28,IF('Alíquotas ICMS'!$I28&lt;=EOMONTH(H$4,0),'Alíquotas ICMS'!$J28,IF('Alíquotas ICMS'!$G28&lt;=EOMONTH(H$4,0),'Alíquotas ICMS'!$H28,'Alíquotas ICMS'!$F28)))</f>
        <v>0.25</v>
      </c>
      <c r="I28" s="136">
        <f>IF('Alíquotas ICMS'!$K28&lt;=EOMONTH(I$4,0),'Alíquotas ICMS'!$L28,IF('Alíquotas ICMS'!$I28&lt;=EOMONTH(I$4,0),'Alíquotas ICMS'!$J28,IF('Alíquotas ICMS'!$G28&lt;=EOMONTH(I$4,0),'Alíquotas ICMS'!$H28,'Alíquotas ICMS'!$F28)))</f>
        <v>0.25</v>
      </c>
      <c r="J28" s="136">
        <f>IF('Alíquotas ICMS'!$K28&lt;=EOMONTH(J$4,0),'Alíquotas ICMS'!$L28,IF('Alíquotas ICMS'!$I28&lt;=EOMONTH(J$4,0),'Alíquotas ICMS'!$J28,IF('Alíquotas ICMS'!$G28&lt;=EOMONTH(J$4,0),'Alíquotas ICMS'!$H28,'Alíquotas ICMS'!$F28)))</f>
        <v>0.17</v>
      </c>
      <c r="K28" s="136">
        <f>IF('Alíquotas ICMS'!$K28&lt;=EOMONTH(K$4,0),'Alíquotas ICMS'!$L28,IF('Alíquotas ICMS'!$I28&lt;=EOMONTH(K$4,0),'Alíquotas ICMS'!$J28,IF('Alíquotas ICMS'!$G28&lt;=EOMONTH(K$4,0),'Alíquotas ICMS'!$H28,'Alíquotas ICMS'!$F28)))</f>
        <v>0.17</v>
      </c>
      <c r="L28" s="136">
        <f>IF('Alíquotas ICMS'!$K28&lt;=EOMONTH(L$4,0),'Alíquotas ICMS'!$L28,IF('Alíquotas ICMS'!$I28&lt;=EOMONTH(L$4,0),'Alíquotas ICMS'!$J28,IF('Alíquotas ICMS'!$G28&lt;=EOMONTH(L$4,0),'Alíquotas ICMS'!$H28,'Alíquotas ICMS'!$F28)))</f>
        <v>0.17</v>
      </c>
      <c r="M28" s="136">
        <f>IF('Alíquotas ICMS'!$K28&lt;=EOMONTH(M$4,0),'Alíquotas ICMS'!$L28,IF('Alíquotas ICMS'!$I28&lt;=EOMONTH(M$4,0),'Alíquotas ICMS'!$J28,IF('Alíquotas ICMS'!$G28&lt;=EOMONTH(M$4,0),'Alíquotas ICMS'!$H28,'Alíquotas ICMS'!$F28)))</f>
        <v>0.17</v>
      </c>
      <c r="N28" s="136">
        <f>IF('Alíquotas ICMS'!$K28&lt;=EOMONTH(N$4,0),'Alíquotas ICMS'!$L28,IF('Alíquotas ICMS'!$I28&lt;=EOMONTH(N$4,0),'Alíquotas ICMS'!$J28,IF('Alíquotas ICMS'!$G28&lt;=EOMONTH(N$4,0),'Alíquotas ICMS'!$H28,'Alíquotas ICMS'!$F28)))</f>
        <v>0.17</v>
      </c>
      <c r="O28" s="135">
        <f>IF('Alíquotas ICMS'!$K28&lt;=EOMONTH(O$4,0),'Alíquotas ICMS'!$L28,IF('Alíquotas ICMS'!$I28&lt;=EOMONTH(O$4,0),'Alíquotas ICMS'!$J28,IF('Alíquotas ICMS'!$G28&lt;=EOMONTH(O$4,0),'Alíquotas ICMS'!$H28,'Alíquotas ICMS'!$F28)))</f>
        <v>0.17</v>
      </c>
    </row>
    <row r="29" spans="2:15" x14ac:dyDescent="0.25">
      <c r="B29" s="142" t="str">
        <f>'Alíquotas ICMS'!B29</f>
        <v>SE</v>
      </c>
      <c r="C29" s="141">
        <f>IF('Alíquotas ICMS'!$K29&lt;=EOMONTH(C$4,0),'Alíquotas ICMS'!$L29,IF('Alíquotas ICMS'!$I29&lt;=EOMONTH(C$4,0),'Alíquotas ICMS'!$J29,IF('Alíquotas ICMS'!$G29&lt;=EOMONTH(C$4,0),'Alíquotas ICMS'!$H29,'Alíquotas ICMS'!$F29)))</f>
        <v>0.3</v>
      </c>
      <c r="D29" s="140">
        <f>IF('Alíquotas ICMS'!$K29&lt;=EOMONTH(D$4,0),'Alíquotas ICMS'!$L29,IF('Alíquotas ICMS'!$I29&lt;=EOMONTH(D$4,0),'Alíquotas ICMS'!$J29,IF('Alíquotas ICMS'!$G29&lt;=EOMONTH(D$4,0),'Alíquotas ICMS'!$H29,'Alíquotas ICMS'!$F29)))</f>
        <v>0.3</v>
      </c>
      <c r="E29" s="140">
        <f>IF('Alíquotas ICMS'!$K29&lt;=EOMONTH(E$4,0),'Alíquotas ICMS'!$L29,IF('Alíquotas ICMS'!$I29&lt;=EOMONTH(E$4,0),'Alíquotas ICMS'!$J29,IF('Alíquotas ICMS'!$G29&lt;=EOMONTH(E$4,0),'Alíquotas ICMS'!$H29,'Alíquotas ICMS'!$F29)))</f>
        <v>0.3</v>
      </c>
      <c r="F29" s="140">
        <f>IF('Alíquotas ICMS'!$K29&lt;=EOMONTH(F$4,0),'Alíquotas ICMS'!$L29,IF('Alíquotas ICMS'!$I29&lt;=EOMONTH(F$4,0),'Alíquotas ICMS'!$J29,IF('Alíquotas ICMS'!$G29&lt;=EOMONTH(F$4,0),'Alíquotas ICMS'!$H29,'Alíquotas ICMS'!$F29)))</f>
        <v>0.3</v>
      </c>
      <c r="G29" s="140">
        <f>IF('Alíquotas ICMS'!$K29&lt;=EOMONTH(G$4,0),'Alíquotas ICMS'!$L29,IF('Alíquotas ICMS'!$I29&lt;=EOMONTH(G$4,0),'Alíquotas ICMS'!$J29,IF('Alíquotas ICMS'!$G29&lt;=EOMONTH(G$4,0),'Alíquotas ICMS'!$H29,'Alíquotas ICMS'!$F29)))</f>
        <v>0.3</v>
      </c>
      <c r="H29" s="140">
        <f>IF('Alíquotas ICMS'!$K29&lt;=EOMONTH(H$4,0),'Alíquotas ICMS'!$L29,IF('Alíquotas ICMS'!$I29&lt;=EOMONTH(H$4,0),'Alíquotas ICMS'!$J29,IF('Alíquotas ICMS'!$G29&lt;=EOMONTH(H$4,0),'Alíquotas ICMS'!$H29,'Alíquotas ICMS'!$F29)))</f>
        <v>0.3</v>
      </c>
      <c r="I29" s="140">
        <f>IF('Alíquotas ICMS'!$K29&lt;=EOMONTH(I$4,0),'Alíquotas ICMS'!$L29,IF('Alíquotas ICMS'!$I29&lt;=EOMONTH(I$4,0),'Alíquotas ICMS'!$J29,IF('Alíquotas ICMS'!$G29&lt;=EOMONTH(I$4,0),'Alíquotas ICMS'!$H29,'Alíquotas ICMS'!$F29)))</f>
        <v>0.3</v>
      </c>
      <c r="J29" s="140">
        <f>IF('Alíquotas ICMS'!$K29&lt;=EOMONTH(J$4,0),'Alíquotas ICMS'!$L29,IF('Alíquotas ICMS'!$I29&lt;=EOMONTH(J$4,0),'Alíquotas ICMS'!$J29,IF('Alíquotas ICMS'!$G29&lt;=EOMONTH(J$4,0),'Alíquotas ICMS'!$H29,'Alíquotas ICMS'!$F29)))</f>
        <v>0.18</v>
      </c>
      <c r="K29" s="140">
        <f>IF('Alíquotas ICMS'!$K29&lt;=EOMONTH(K$4,0),'Alíquotas ICMS'!$L29,IF('Alíquotas ICMS'!$I29&lt;=EOMONTH(K$4,0),'Alíquotas ICMS'!$J29,IF('Alíquotas ICMS'!$G29&lt;=EOMONTH(K$4,0),'Alíquotas ICMS'!$H29,'Alíquotas ICMS'!$F29)))</f>
        <v>0.18</v>
      </c>
      <c r="L29" s="140">
        <f>IF('Alíquotas ICMS'!$K29&lt;=EOMONTH(L$4,0),'Alíquotas ICMS'!$L29,IF('Alíquotas ICMS'!$I29&lt;=EOMONTH(L$4,0),'Alíquotas ICMS'!$J29,IF('Alíquotas ICMS'!$G29&lt;=EOMONTH(L$4,0),'Alíquotas ICMS'!$H29,'Alíquotas ICMS'!$F29)))</f>
        <v>0.18</v>
      </c>
      <c r="M29" s="140">
        <f>IF('Alíquotas ICMS'!$K29&lt;=EOMONTH(M$4,0),'Alíquotas ICMS'!$L29,IF('Alíquotas ICMS'!$I29&lt;=EOMONTH(M$4,0),'Alíquotas ICMS'!$J29,IF('Alíquotas ICMS'!$G29&lt;=EOMONTH(M$4,0),'Alíquotas ICMS'!$H29,'Alíquotas ICMS'!$F29)))</f>
        <v>0.18</v>
      </c>
      <c r="N29" s="140">
        <f>IF('Alíquotas ICMS'!$K29&lt;=EOMONTH(N$4,0),'Alíquotas ICMS'!$L29,IF('Alíquotas ICMS'!$I29&lt;=EOMONTH(N$4,0),'Alíquotas ICMS'!$J29,IF('Alíquotas ICMS'!$G29&lt;=EOMONTH(N$4,0),'Alíquotas ICMS'!$H29,'Alíquotas ICMS'!$F29)))</f>
        <v>0.18</v>
      </c>
      <c r="O29" s="139">
        <f>IF('Alíquotas ICMS'!$K29&lt;=EOMONTH(O$4,0),'Alíquotas ICMS'!$L29,IF('Alíquotas ICMS'!$I29&lt;=EOMONTH(O$4,0),'Alíquotas ICMS'!$J29,IF('Alíquotas ICMS'!$G29&lt;=EOMONTH(O$4,0),'Alíquotas ICMS'!$H29,'Alíquotas ICMS'!$F29)))</f>
        <v>0.18</v>
      </c>
    </row>
    <row r="30" spans="2:15" x14ac:dyDescent="0.25">
      <c r="B30" s="138" t="str">
        <f>'Alíquotas ICMS'!B30</f>
        <v>SP</v>
      </c>
      <c r="C30" s="137">
        <f>IF('Alíquotas ICMS'!$K30&lt;=EOMONTH(C$4,0),'Alíquotas ICMS'!$L30,IF('Alíquotas ICMS'!$I30&lt;=EOMONTH(C$4,0),'Alíquotas ICMS'!$J30,IF('Alíquotas ICMS'!$G30&lt;=EOMONTH(C$4,0),'Alíquotas ICMS'!$H30,'Alíquotas ICMS'!$F30)))</f>
        <v>0.25</v>
      </c>
      <c r="D30" s="136">
        <f>IF('Alíquotas ICMS'!$K30&lt;=EOMONTH(D$4,0),'Alíquotas ICMS'!$L30,IF('Alíquotas ICMS'!$I30&lt;=EOMONTH(D$4,0),'Alíquotas ICMS'!$J30,IF('Alíquotas ICMS'!$G30&lt;=EOMONTH(D$4,0),'Alíquotas ICMS'!$H30,'Alíquotas ICMS'!$F30)))</f>
        <v>0.25</v>
      </c>
      <c r="E30" s="136">
        <f>IF('Alíquotas ICMS'!$K30&lt;=EOMONTH(E$4,0),'Alíquotas ICMS'!$L30,IF('Alíquotas ICMS'!$I30&lt;=EOMONTH(E$4,0),'Alíquotas ICMS'!$J30,IF('Alíquotas ICMS'!$G30&lt;=EOMONTH(E$4,0),'Alíquotas ICMS'!$H30,'Alíquotas ICMS'!$F30)))</f>
        <v>0.25</v>
      </c>
      <c r="F30" s="136">
        <f>IF('Alíquotas ICMS'!$K30&lt;=EOMONTH(F$4,0),'Alíquotas ICMS'!$L30,IF('Alíquotas ICMS'!$I30&lt;=EOMONTH(F$4,0),'Alíquotas ICMS'!$J30,IF('Alíquotas ICMS'!$G30&lt;=EOMONTH(F$4,0),'Alíquotas ICMS'!$H30,'Alíquotas ICMS'!$F30)))</f>
        <v>0.25</v>
      </c>
      <c r="G30" s="136">
        <f>IF('Alíquotas ICMS'!$K30&lt;=EOMONTH(G$4,0),'Alíquotas ICMS'!$L30,IF('Alíquotas ICMS'!$I30&lt;=EOMONTH(G$4,0),'Alíquotas ICMS'!$J30,IF('Alíquotas ICMS'!$G30&lt;=EOMONTH(G$4,0),'Alíquotas ICMS'!$H30,'Alíquotas ICMS'!$F30)))</f>
        <v>0.25</v>
      </c>
      <c r="H30" s="136">
        <f>IF('Alíquotas ICMS'!$K30&lt;=EOMONTH(H$4,0),'Alíquotas ICMS'!$L30,IF('Alíquotas ICMS'!$I30&lt;=EOMONTH(H$4,0),'Alíquotas ICMS'!$J30,IF('Alíquotas ICMS'!$G30&lt;=EOMONTH(H$4,0),'Alíquotas ICMS'!$H30,'Alíquotas ICMS'!$F30)))</f>
        <v>0.25</v>
      </c>
      <c r="I30" s="136">
        <f>IF('Alíquotas ICMS'!$K30&lt;=EOMONTH(I$4,0),'Alíquotas ICMS'!$L30,IF('Alíquotas ICMS'!$I30&lt;=EOMONTH(I$4,0),'Alíquotas ICMS'!$J30,IF('Alíquotas ICMS'!$G30&lt;=EOMONTH(I$4,0),'Alíquotas ICMS'!$H30,'Alíquotas ICMS'!$F30)))</f>
        <v>0.18</v>
      </c>
      <c r="J30" s="136">
        <f>IF('Alíquotas ICMS'!$K30&lt;=EOMONTH(J$4,0),'Alíquotas ICMS'!$L30,IF('Alíquotas ICMS'!$I30&lt;=EOMONTH(J$4,0),'Alíquotas ICMS'!$J30,IF('Alíquotas ICMS'!$G30&lt;=EOMONTH(J$4,0),'Alíquotas ICMS'!$H30,'Alíquotas ICMS'!$F30)))</f>
        <v>0.18</v>
      </c>
      <c r="K30" s="136">
        <f>IF('Alíquotas ICMS'!$K30&lt;=EOMONTH(K$4,0),'Alíquotas ICMS'!$L30,IF('Alíquotas ICMS'!$I30&lt;=EOMONTH(K$4,0),'Alíquotas ICMS'!$J30,IF('Alíquotas ICMS'!$G30&lt;=EOMONTH(K$4,0),'Alíquotas ICMS'!$H30,'Alíquotas ICMS'!$F30)))</f>
        <v>0.18</v>
      </c>
      <c r="L30" s="136">
        <f>IF('Alíquotas ICMS'!$K30&lt;=EOMONTH(L$4,0),'Alíquotas ICMS'!$L30,IF('Alíquotas ICMS'!$I30&lt;=EOMONTH(L$4,0),'Alíquotas ICMS'!$J30,IF('Alíquotas ICMS'!$G30&lt;=EOMONTH(L$4,0),'Alíquotas ICMS'!$H30,'Alíquotas ICMS'!$F30)))</f>
        <v>0.18</v>
      </c>
      <c r="M30" s="136">
        <f>IF('Alíquotas ICMS'!$K30&lt;=EOMONTH(M$4,0),'Alíquotas ICMS'!$L30,IF('Alíquotas ICMS'!$I30&lt;=EOMONTH(M$4,0),'Alíquotas ICMS'!$J30,IF('Alíquotas ICMS'!$G30&lt;=EOMONTH(M$4,0),'Alíquotas ICMS'!$H30,'Alíquotas ICMS'!$F30)))</f>
        <v>0.18</v>
      </c>
      <c r="N30" s="136">
        <f>IF('Alíquotas ICMS'!$K30&lt;=EOMONTH(N$4,0),'Alíquotas ICMS'!$L30,IF('Alíquotas ICMS'!$I30&lt;=EOMONTH(N$4,0),'Alíquotas ICMS'!$J30,IF('Alíquotas ICMS'!$G30&lt;=EOMONTH(N$4,0),'Alíquotas ICMS'!$H30,'Alíquotas ICMS'!$F30)))</f>
        <v>0.18</v>
      </c>
      <c r="O30" s="135">
        <f>IF('Alíquotas ICMS'!$K30&lt;=EOMONTH(O$4,0),'Alíquotas ICMS'!$L30,IF('Alíquotas ICMS'!$I30&lt;=EOMONTH(O$4,0),'Alíquotas ICMS'!$J30,IF('Alíquotas ICMS'!$G30&lt;=EOMONTH(O$4,0),'Alíquotas ICMS'!$H30,'Alíquotas ICMS'!$F30)))</f>
        <v>0.18</v>
      </c>
    </row>
    <row r="31" spans="2:15" ht="15.75" thickBot="1" x14ac:dyDescent="0.3">
      <c r="B31" s="134" t="str">
        <f>'Alíquotas ICMS'!B31</f>
        <v>TO</v>
      </c>
      <c r="C31" s="133">
        <f>IF('Alíquotas ICMS'!$K31&lt;=EOMONTH(C$4,0),'Alíquotas ICMS'!$L31,IF('Alíquotas ICMS'!$I31&lt;=EOMONTH(C$4,0),'Alíquotas ICMS'!$J31,IF('Alíquotas ICMS'!$G31&lt;=EOMONTH(C$4,0),'Alíquotas ICMS'!$H31,'Alíquotas ICMS'!$F31)))</f>
        <v>0.28999999999999998</v>
      </c>
      <c r="D31" s="132">
        <f>IF('Alíquotas ICMS'!$K31&lt;=EOMONTH(D$4,0),'Alíquotas ICMS'!$L31,IF('Alíquotas ICMS'!$I31&lt;=EOMONTH(D$4,0),'Alíquotas ICMS'!$J31,IF('Alíquotas ICMS'!$G31&lt;=EOMONTH(D$4,0),'Alíquotas ICMS'!$H31,'Alíquotas ICMS'!$F31)))</f>
        <v>0.28999999999999998</v>
      </c>
      <c r="E31" s="132">
        <f>IF('Alíquotas ICMS'!$K31&lt;=EOMONTH(E$4,0),'Alíquotas ICMS'!$L31,IF('Alíquotas ICMS'!$I31&lt;=EOMONTH(E$4,0),'Alíquotas ICMS'!$J31,IF('Alíquotas ICMS'!$G31&lt;=EOMONTH(E$4,0),'Alíquotas ICMS'!$H31,'Alíquotas ICMS'!$F31)))</f>
        <v>0.28999999999999998</v>
      </c>
      <c r="F31" s="132">
        <f>IF('Alíquotas ICMS'!$K31&lt;=EOMONTH(F$4,0),'Alíquotas ICMS'!$L31,IF('Alíquotas ICMS'!$I31&lt;=EOMONTH(F$4,0),'Alíquotas ICMS'!$J31,IF('Alíquotas ICMS'!$G31&lt;=EOMONTH(F$4,0),'Alíquotas ICMS'!$H31,'Alíquotas ICMS'!$F31)))</f>
        <v>0.28999999999999998</v>
      </c>
      <c r="G31" s="132">
        <f>IF('Alíquotas ICMS'!$K31&lt;=EOMONTH(G$4,0),'Alíquotas ICMS'!$L31,IF('Alíquotas ICMS'!$I31&lt;=EOMONTH(G$4,0),'Alíquotas ICMS'!$J31,IF('Alíquotas ICMS'!$G31&lt;=EOMONTH(G$4,0),'Alíquotas ICMS'!$H31,'Alíquotas ICMS'!$F31)))</f>
        <v>0.28999999999999998</v>
      </c>
      <c r="H31" s="132">
        <f>IF('Alíquotas ICMS'!$K31&lt;=EOMONTH(H$4,0),'Alíquotas ICMS'!$L31,IF('Alíquotas ICMS'!$I31&lt;=EOMONTH(H$4,0),'Alíquotas ICMS'!$J31,IF('Alíquotas ICMS'!$G31&lt;=EOMONTH(H$4,0),'Alíquotas ICMS'!$H31,'Alíquotas ICMS'!$F31)))</f>
        <v>0.28999999999999998</v>
      </c>
      <c r="I31" s="132">
        <f>IF('Alíquotas ICMS'!$K31&lt;=EOMONTH(I$4,0),'Alíquotas ICMS'!$L31,IF('Alíquotas ICMS'!$I31&lt;=EOMONTH(I$4,0),'Alíquotas ICMS'!$J31,IF('Alíquotas ICMS'!$G31&lt;=EOMONTH(I$4,0),'Alíquotas ICMS'!$H31,'Alíquotas ICMS'!$F31)))</f>
        <v>0.28999999999999998</v>
      </c>
      <c r="J31" s="132">
        <f>IF('Alíquotas ICMS'!$K31&lt;=EOMONTH(J$4,0),'Alíquotas ICMS'!$L31,IF('Alíquotas ICMS'!$I31&lt;=EOMONTH(J$4,0),'Alíquotas ICMS'!$J31,IF('Alíquotas ICMS'!$G31&lt;=EOMONTH(J$4,0),'Alíquotas ICMS'!$H31,'Alíquotas ICMS'!$F31)))</f>
        <v>0.28999999999999998</v>
      </c>
      <c r="K31" s="132">
        <f>IF('Alíquotas ICMS'!$K31&lt;=EOMONTH(K$4,0),'Alíquotas ICMS'!$L31,IF('Alíquotas ICMS'!$I31&lt;=EOMONTH(K$4,0),'Alíquotas ICMS'!$J31,IF('Alíquotas ICMS'!$G31&lt;=EOMONTH(K$4,0),'Alíquotas ICMS'!$H31,'Alíquotas ICMS'!$F31)))</f>
        <v>0.18</v>
      </c>
      <c r="L31" s="132">
        <f>IF('Alíquotas ICMS'!$K31&lt;=EOMONTH(L$4,0),'Alíquotas ICMS'!$L31,IF('Alíquotas ICMS'!$I31&lt;=EOMONTH(L$4,0),'Alíquotas ICMS'!$J31,IF('Alíquotas ICMS'!$G31&lt;=EOMONTH(L$4,0),'Alíquotas ICMS'!$H31,'Alíquotas ICMS'!$F31)))</f>
        <v>0.18</v>
      </c>
      <c r="M31" s="132">
        <f>IF('Alíquotas ICMS'!$K31&lt;=EOMONTH(M$4,0),'Alíquotas ICMS'!$L31,IF('Alíquotas ICMS'!$I31&lt;=EOMONTH(M$4,0),'Alíquotas ICMS'!$J31,IF('Alíquotas ICMS'!$G31&lt;=EOMONTH(M$4,0),'Alíquotas ICMS'!$H31,'Alíquotas ICMS'!$F31)))</f>
        <v>0.18</v>
      </c>
      <c r="N31" s="132">
        <f>IF('Alíquotas ICMS'!$K31&lt;=EOMONTH(N$4,0),'Alíquotas ICMS'!$L31,IF('Alíquotas ICMS'!$I31&lt;=EOMONTH(N$4,0),'Alíquotas ICMS'!$J31,IF('Alíquotas ICMS'!$G31&lt;=EOMONTH(N$4,0),'Alíquotas ICMS'!$H31,'Alíquotas ICMS'!$F31)))</f>
        <v>0.18</v>
      </c>
      <c r="O31" s="131">
        <f>IF('Alíquotas ICMS'!$K31&lt;=EOMONTH(O$4,0),'Alíquotas ICMS'!$L31,IF('Alíquotas ICMS'!$I31&lt;=EOMONTH(O$4,0),'Alíquotas ICMS'!$J31,IF('Alíquotas ICMS'!$G31&lt;=EOMONTH(O$4,0),'Alíquotas ICMS'!$H31,'Alíquotas ICMS'!$F31)))</f>
        <v>0.18</v>
      </c>
    </row>
    <row r="32" spans="2:15" x14ac:dyDescent="0.25">
      <c r="B32" s="151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</row>
    <row r="33" spans="2:15" ht="16.5" thickBot="1" x14ac:dyDescent="0.3">
      <c r="B33" s="148" t="s">
        <v>99</v>
      </c>
      <c r="J33" s="147"/>
    </row>
    <row r="34" spans="2:15" x14ac:dyDescent="0.25">
      <c r="B34" s="146" t="s">
        <v>98</v>
      </c>
      <c r="C34" s="145"/>
      <c r="D34" s="144">
        <f>DATE($D$2,1,1)</f>
        <v>44562</v>
      </c>
      <c r="E34" s="144">
        <f>DATE($D$2,2,1)</f>
        <v>44593</v>
      </c>
      <c r="F34" s="144">
        <f>DATE($D$2,3,1)</f>
        <v>44621</v>
      </c>
      <c r="G34" s="144">
        <f>DATE($D$2,4,1)</f>
        <v>44652</v>
      </c>
      <c r="H34" s="144">
        <f>DATE($D$2,5,1)</f>
        <v>44682</v>
      </c>
      <c r="I34" s="144">
        <f>DATE($D$2,6,1)</f>
        <v>44713</v>
      </c>
      <c r="J34" s="144">
        <f>DATE($D$2,7,1)</f>
        <v>44743</v>
      </c>
      <c r="K34" s="144">
        <f>DATE($D$2,8,1)</f>
        <v>44774</v>
      </c>
      <c r="L34" s="144">
        <f>DATE($D$2,9,1)</f>
        <v>44805</v>
      </c>
      <c r="M34" s="144">
        <f>DATE($D$2,10,1)</f>
        <v>44835</v>
      </c>
      <c r="N34" s="144">
        <f>DATE($D$2,11,1)</f>
        <v>44866</v>
      </c>
      <c r="O34" s="143">
        <f>DATE($D$2,12,1)</f>
        <v>44896</v>
      </c>
    </row>
    <row r="35" spans="2:15" x14ac:dyDescent="0.25">
      <c r="B35" s="153" t="s">
        <v>100</v>
      </c>
      <c r="C35" s="154"/>
      <c r="D35" s="155">
        <f ca="1">MIN(D36:D62)</f>
        <v>0.19</v>
      </c>
      <c r="E35" s="155">
        <f t="shared" ref="E35:O35" ca="1" si="0">MIN(E36:E62)</f>
        <v>0.19</v>
      </c>
      <c r="F35" s="155">
        <f t="shared" ca="1" si="0"/>
        <v>0.19</v>
      </c>
      <c r="G35" s="155">
        <f t="shared" ca="1" si="0"/>
        <v>0.19</v>
      </c>
      <c r="H35" s="155">
        <f t="shared" ca="1" si="0"/>
        <v>0.19</v>
      </c>
      <c r="I35" s="155">
        <f t="shared" ca="1" si="0"/>
        <v>0.19</v>
      </c>
      <c r="J35" s="155">
        <f t="shared" ca="1" si="0"/>
        <v>0.17</v>
      </c>
      <c r="K35" s="155">
        <f t="shared" ca="1" si="0"/>
        <v>0.17</v>
      </c>
      <c r="L35" s="155">
        <f t="shared" ca="1" si="0"/>
        <v>0.17</v>
      </c>
      <c r="M35" s="155">
        <f t="shared" ca="1" si="0"/>
        <v>0.17</v>
      </c>
      <c r="N35" s="155">
        <f t="shared" ca="1" si="0"/>
        <v>0.17</v>
      </c>
      <c r="O35" s="156">
        <f t="shared" ca="1" si="0"/>
        <v>0.17</v>
      </c>
    </row>
    <row r="36" spans="2:15" x14ac:dyDescent="0.25">
      <c r="B36" s="142" t="str">
        <f t="shared" ref="B36:B62" si="1">B5</f>
        <v>AC</v>
      </c>
      <c r="C36" s="141"/>
      <c r="D36" s="140">
        <f ca="1">ROUND(((EOMONTH(D$4,0)-MAX(OFFSET('Alíquotas ICMS'!$E5,,MATCH(D5,'Alíquotas ICMS'!$E5:$L5,0)-2),D$4))*D5+(MAX(OFFSET('Alíquotas ICMS'!$E5,,MATCH(D5,'Alíquotas ICMS'!$E5:$L5,0)-2),D$4)-D$4)*C5)/(EOMONTH(D$4,0)-D$4),4)</f>
        <v>0.25</v>
      </c>
      <c r="E36" s="140">
        <f ca="1">ROUND(((EOMONTH(E$4,0)-MAX(OFFSET('Alíquotas ICMS'!$E5,,MATCH(E5,'Alíquotas ICMS'!$E5:$L5,0)-2),E$4))*E5+(MAX(OFFSET('Alíquotas ICMS'!$E5,,MATCH(E5,'Alíquotas ICMS'!$E5:$L5,0)-2),E$4)-E$4)*D5)/(EOMONTH(E$4,0)-E$4),4)</f>
        <v>0.25</v>
      </c>
      <c r="F36" s="140">
        <f ca="1">ROUND(((EOMONTH(F$4,0)-MAX(OFFSET('Alíquotas ICMS'!$E5,,MATCH(F5,'Alíquotas ICMS'!$E5:$L5,0)-2),F$4))*F5+(MAX(OFFSET('Alíquotas ICMS'!$E5,,MATCH(F5,'Alíquotas ICMS'!$E5:$L5,0)-2),F$4)-F$4)*E5)/(EOMONTH(F$4,0)-F$4),4)</f>
        <v>0.25</v>
      </c>
      <c r="G36" s="140">
        <f ca="1">ROUND(((EOMONTH(G$4,0)-MAX(OFFSET('Alíquotas ICMS'!$E5,,MATCH(G5,'Alíquotas ICMS'!$E5:$L5,0)-2),G$4))*G5+(MAX(OFFSET('Alíquotas ICMS'!$E5,,MATCH(G5,'Alíquotas ICMS'!$E5:$L5,0)-2),G$4)-G$4)*F5)/(EOMONTH(G$4,0)-G$4),4)</f>
        <v>0.25</v>
      </c>
      <c r="H36" s="140">
        <f ca="1">ROUND(((EOMONTH(H$4,0)-MAX(OFFSET('Alíquotas ICMS'!$E5,,MATCH(H5,'Alíquotas ICMS'!$E5:$L5,0)-2),H$4))*H5+(MAX(OFFSET('Alíquotas ICMS'!$E5,,MATCH(H5,'Alíquotas ICMS'!$E5:$L5,0)-2),H$4)-H$4)*G5)/(EOMONTH(H$4,0)-H$4),4)</f>
        <v>0.25</v>
      </c>
      <c r="I36" s="140">
        <f ca="1">ROUND(((EOMONTH(I$4,0)-MAX(OFFSET('Alíquotas ICMS'!$E5,,MATCH(I5,'Alíquotas ICMS'!$E5:$L5,0)-2),I$4))*I5+(MAX(OFFSET('Alíquotas ICMS'!$E5,,MATCH(I5,'Alíquotas ICMS'!$E5:$L5,0)-2),I$4)-I$4)*H5)/(EOMONTH(I$4,0)-I$4),4)</f>
        <v>0.25</v>
      </c>
      <c r="J36" s="140">
        <f ca="1">ROUND(((EOMONTH(J$4,0)-MAX(OFFSET('Alíquotas ICMS'!$E5,,MATCH(J5,'Alíquotas ICMS'!$E5:$L5,0)-2),J$4))*J5+(MAX(OFFSET('Alíquotas ICMS'!$E5,,MATCH(J5,'Alíquotas ICMS'!$E5:$L5,0)-2),J$4)-J$4)*I5)/(EOMONTH(J$4,0)-J$4),4)</f>
        <v>0.186</v>
      </c>
      <c r="K36" s="140">
        <f ca="1">ROUND(((EOMONTH(K$4,0)-MAX(OFFSET('Alíquotas ICMS'!$E5,,MATCH(K5,'Alíquotas ICMS'!$E5:$L5,0)-2),K$4))*K5+(MAX(OFFSET('Alíquotas ICMS'!$E5,,MATCH(K5,'Alíquotas ICMS'!$E5:$L5,0)-2),K$4)-K$4)*J5)/(EOMONTH(K$4,0)-K$4),4)</f>
        <v>0.17</v>
      </c>
      <c r="L36" s="140">
        <f ca="1">ROUND(((EOMONTH(L$4,0)-MAX(OFFSET('Alíquotas ICMS'!$E5,,MATCH(L5,'Alíquotas ICMS'!$E5:$L5,0)-2),L$4))*L5+(MAX(OFFSET('Alíquotas ICMS'!$E5,,MATCH(L5,'Alíquotas ICMS'!$E5:$L5,0)-2),L$4)-L$4)*K5)/(EOMONTH(L$4,0)-L$4),4)</f>
        <v>0.17</v>
      </c>
      <c r="M36" s="140">
        <f ca="1">ROUND(((EOMONTH(M$4,0)-MAX(OFFSET('Alíquotas ICMS'!$E5,,MATCH(M5,'Alíquotas ICMS'!$E5:$L5,0)-2),M$4))*M5+(MAX(OFFSET('Alíquotas ICMS'!$E5,,MATCH(M5,'Alíquotas ICMS'!$E5:$L5,0)-2),M$4)-M$4)*L5)/(EOMONTH(M$4,0)-M$4),4)</f>
        <v>0.17</v>
      </c>
      <c r="N36" s="140">
        <f ca="1">ROUND(((EOMONTH(N$4,0)-MAX(OFFSET('Alíquotas ICMS'!$E5,,MATCH(N5,'Alíquotas ICMS'!$E5:$L5,0)-2),N$4))*N5+(MAX(OFFSET('Alíquotas ICMS'!$E5,,MATCH(N5,'Alíquotas ICMS'!$E5:$L5,0)-2),N$4)-N$4)*M5)/(EOMONTH(N$4,0)-N$4),4)</f>
        <v>0.17</v>
      </c>
      <c r="O36" s="139">
        <f ca="1">ROUND(((EOMONTH(O$4,0)-MAX(OFFSET('Alíquotas ICMS'!$E5,,MATCH(O5,'Alíquotas ICMS'!$E5:$L5,0)-2),O$4))*O5+(MAX(OFFSET('Alíquotas ICMS'!$E5,,MATCH(O5,'Alíquotas ICMS'!$E5:$L5,0)-2),O$4)-O$4)*N5)/(EOMONTH(O$4,0)-O$4),4)</f>
        <v>0.17</v>
      </c>
    </row>
    <row r="37" spans="2:15" x14ac:dyDescent="0.25">
      <c r="B37" s="138" t="str">
        <f t="shared" si="1"/>
        <v>AL</v>
      </c>
      <c r="C37" s="137"/>
      <c r="D37" s="136">
        <f ca="1">ROUND(((EOMONTH(D$4,0)-MAX(OFFSET('Alíquotas ICMS'!$E6,,MATCH(D6,'Alíquotas ICMS'!$E6:$L6,0)-2),D$4))*D6+(MAX(OFFSET('Alíquotas ICMS'!$E6,,MATCH(D6,'Alíquotas ICMS'!$E6:$L6,0)-2),D$4)-D$4)*C6)/(EOMONTH(D$4,0)-D$4),4)</f>
        <v>0.3</v>
      </c>
      <c r="E37" s="136">
        <f ca="1">ROUND(((EOMONTH(E$4,0)-MAX(OFFSET('Alíquotas ICMS'!$E6,,MATCH(E6,'Alíquotas ICMS'!$E6:$L6,0)-2),E$4))*E6+(MAX(OFFSET('Alíquotas ICMS'!$E6,,MATCH(E6,'Alíquotas ICMS'!$E6:$L6,0)-2),E$4)-E$4)*D6)/(EOMONTH(E$4,0)-E$4),4)</f>
        <v>0.3</v>
      </c>
      <c r="F37" s="136">
        <f ca="1">ROUND(((EOMONTH(F$4,0)-MAX(OFFSET('Alíquotas ICMS'!$E6,,MATCH(F6,'Alíquotas ICMS'!$E6:$L6,0)-2),F$4))*F6+(MAX(OFFSET('Alíquotas ICMS'!$E6,,MATCH(F6,'Alíquotas ICMS'!$E6:$L6,0)-2),F$4)-F$4)*E6)/(EOMONTH(F$4,0)-F$4),4)</f>
        <v>0.3</v>
      </c>
      <c r="G37" s="136">
        <f ca="1">ROUND(((EOMONTH(G$4,0)-MAX(OFFSET('Alíquotas ICMS'!$E6,,MATCH(G6,'Alíquotas ICMS'!$E6:$L6,0)-2),G$4))*G6+(MAX(OFFSET('Alíquotas ICMS'!$E6,,MATCH(G6,'Alíquotas ICMS'!$E6:$L6,0)-2),G$4)-G$4)*F6)/(EOMONTH(G$4,0)-G$4),4)</f>
        <v>0.3</v>
      </c>
      <c r="H37" s="136">
        <f ca="1">ROUND(((EOMONTH(H$4,0)-MAX(OFFSET('Alíquotas ICMS'!$E6,,MATCH(H6,'Alíquotas ICMS'!$E6:$L6,0)-2),H$4))*H6+(MAX(OFFSET('Alíquotas ICMS'!$E6,,MATCH(H6,'Alíquotas ICMS'!$E6:$L6,0)-2),H$4)-H$4)*G6)/(EOMONTH(H$4,0)-H$4),4)</f>
        <v>0.3</v>
      </c>
      <c r="I37" s="136">
        <f ca="1">ROUND(((EOMONTH(I$4,0)-MAX(OFFSET('Alíquotas ICMS'!$E6,,MATCH(I6,'Alíquotas ICMS'!$E6:$L6,0)-2),I$4))*I6+(MAX(OFFSET('Alíquotas ICMS'!$E6,,MATCH(I6,'Alíquotas ICMS'!$E6:$L6,0)-2),I$4)-I$4)*H6)/(EOMONTH(I$4,0)-I$4),4)</f>
        <v>0.3</v>
      </c>
      <c r="J37" s="136">
        <f ca="1">ROUND(((EOMONTH(J$4,0)-MAX(OFFSET('Alíquotas ICMS'!$E6,,MATCH(J6,'Alíquotas ICMS'!$E6:$L6,0)-2),J$4))*J6+(MAX(OFFSET('Alíquotas ICMS'!$E6,,MATCH(J6,'Alíquotas ICMS'!$E6:$L6,0)-2),J$4)-J$4)*I6)/(EOMONTH(J$4,0)-J$4),4)</f>
        <v>0.21199999999999999</v>
      </c>
      <c r="K37" s="136">
        <f ca="1">ROUND(((EOMONTH(K$4,0)-MAX(OFFSET('Alíquotas ICMS'!$E6,,MATCH(K6,'Alíquotas ICMS'!$E6:$L6,0)-2),K$4))*K6+(MAX(OFFSET('Alíquotas ICMS'!$E6,,MATCH(K6,'Alíquotas ICMS'!$E6:$L6,0)-2),K$4)-K$4)*J6)/(EOMONTH(K$4,0)-K$4),4)</f>
        <v>0.19</v>
      </c>
      <c r="L37" s="136">
        <f ca="1">ROUND(((EOMONTH(L$4,0)-MAX(OFFSET('Alíquotas ICMS'!$E6,,MATCH(L6,'Alíquotas ICMS'!$E6:$L6,0)-2),L$4))*L6+(MAX(OFFSET('Alíquotas ICMS'!$E6,,MATCH(L6,'Alíquotas ICMS'!$E6:$L6,0)-2),L$4)-L$4)*K6)/(EOMONTH(L$4,0)-L$4),4)</f>
        <v>0.19</v>
      </c>
      <c r="M37" s="136">
        <f ca="1">ROUND(((EOMONTH(M$4,0)-MAX(OFFSET('Alíquotas ICMS'!$E6,,MATCH(M6,'Alíquotas ICMS'!$E6:$L6,0)-2),M$4))*M6+(MAX(OFFSET('Alíquotas ICMS'!$E6,,MATCH(M6,'Alíquotas ICMS'!$E6:$L6,0)-2),M$4)-M$4)*L6)/(EOMONTH(M$4,0)-M$4),4)</f>
        <v>0.19</v>
      </c>
      <c r="N37" s="136">
        <f ca="1">ROUND(((EOMONTH(N$4,0)-MAX(OFFSET('Alíquotas ICMS'!$E6,,MATCH(N6,'Alíquotas ICMS'!$E6:$L6,0)-2),N$4))*N6+(MAX(OFFSET('Alíquotas ICMS'!$E6,,MATCH(N6,'Alíquotas ICMS'!$E6:$L6,0)-2),N$4)-N$4)*M6)/(EOMONTH(N$4,0)-N$4),4)</f>
        <v>0.19</v>
      </c>
      <c r="O37" s="135">
        <f ca="1">ROUND(((EOMONTH(O$4,0)-MAX(OFFSET('Alíquotas ICMS'!$E6,,MATCH(O6,'Alíquotas ICMS'!$E6:$L6,0)-2),O$4))*O6+(MAX(OFFSET('Alíquotas ICMS'!$E6,,MATCH(O6,'Alíquotas ICMS'!$E6:$L6,0)-2),O$4)-O$4)*N6)/(EOMONTH(O$4,0)-O$4),4)</f>
        <v>0.19</v>
      </c>
    </row>
    <row r="38" spans="2:15" x14ac:dyDescent="0.25">
      <c r="B38" s="142" t="str">
        <f t="shared" si="1"/>
        <v>AM</v>
      </c>
      <c r="C38" s="141"/>
      <c r="D38" s="140">
        <f ca="1">ROUND(((EOMONTH(D$4,0)-MAX(OFFSET('Alíquotas ICMS'!$E7,,MATCH(D7,'Alíquotas ICMS'!$E7:$L7,0)-2),D$4))*D7+(MAX(OFFSET('Alíquotas ICMS'!$E7,,MATCH(D7,'Alíquotas ICMS'!$E7:$L7,0)-2),D$4)-D$4)*C7)/(EOMONTH(D$4,0)-D$4),4)</f>
        <v>0.3</v>
      </c>
      <c r="E38" s="140">
        <f ca="1">ROUND(((EOMONTH(E$4,0)-MAX(OFFSET('Alíquotas ICMS'!$E7,,MATCH(E7,'Alíquotas ICMS'!$E7:$L7,0)-2),E$4))*E7+(MAX(OFFSET('Alíquotas ICMS'!$E7,,MATCH(E7,'Alíquotas ICMS'!$E7:$L7,0)-2),E$4)-E$4)*D7)/(EOMONTH(E$4,0)-E$4),4)</f>
        <v>0.3</v>
      </c>
      <c r="F38" s="140">
        <f ca="1">ROUND(((EOMONTH(F$4,0)-MAX(OFFSET('Alíquotas ICMS'!$E7,,MATCH(F7,'Alíquotas ICMS'!$E7:$L7,0)-2),F$4))*F7+(MAX(OFFSET('Alíquotas ICMS'!$E7,,MATCH(F7,'Alíquotas ICMS'!$E7:$L7,0)-2),F$4)-F$4)*E7)/(EOMONTH(F$4,0)-F$4),4)</f>
        <v>0.3</v>
      </c>
      <c r="G38" s="140">
        <f ca="1">ROUND(((EOMONTH(G$4,0)-MAX(OFFSET('Alíquotas ICMS'!$E7,,MATCH(G7,'Alíquotas ICMS'!$E7:$L7,0)-2),G$4))*G7+(MAX(OFFSET('Alíquotas ICMS'!$E7,,MATCH(G7,'Alíquotas ICMS'!$E7:$L7,0)-2),G$4)-G$4)*F7)/(EOMONTH(G$4,0)-G$4),4)</f>
        <v>0.3</v>
      </c>
      <c r="H38" s="140">
        <f ca="1">ROUND(((EOMONTH(H$4,0)-MAX(OFFSET('Alíquotas ICMS'!$E7,,MATCH(H7,'Alíquotas ICMS'!$E7:$L7,0)-2),H$4))*H7+(MAX(OFFSET('Alíquotas ICMS'!$E7,,MATCH(H7,'Alíquotas ICMS'!$E7:$L7,0)-2),H$4)-H$4)*G7)/(EOMONTH(H$4,0)-H$4),4)</f>
        <v>0.3</v>
      </c>
      <c r="I38" s="140">
        <f ca="1">ROUND(((EOMONTH(I$4,0)-MAX(OFFSET('Alíquotas ICMS'!$E7,,MATCH(I7,'Alíquotas ICMS'!$E7:$L7,0)-2),I$4))*I7+(MAX(OFFSET('Alíquotas ICMS'!$E7,,MATCH(I7,'Alíquotas ICMS'!$E7:$L7,0)-2),I$4)-I$4)*H7)/(EOMONTH(I$4,0)-I$4),4)</f>
        <v>0.3</v>
      </c>
      <c r="J38" s="140">
        <f ca="1">ROUND(((EOMONTH(J$4,0)-MAX(OFFSET('Alíquotas ICMS'!$E7,,MATCH(J7,'Alíquotas ICMS'!$E7:$L7,0)-2),J$4))*J7+(MAX(OFFSET('Alíquotas ICMS'!$E7,,MATCH(J7,'Alíquotas ICMS'!$E7:$L7,0)-2),J$4)-J$4)*I7)/(EOMONTH(J$4,0)-J$4),4)</f>
        <v>0.18</v>
      </c>
      <c r="K38" s="140">
        <f ca="1">ROUND(((EOMONTH(K$4,0)-MAX(OFFSET('Alíquotas ICMS'!$E7,,MATCH(K7,'Alíquotas ICMS'!$E7:$L7,0)-2),K$4))*K7+(MAX(OFFSET('Alíquotas ICMS'!$E7,,MATCH(K7,'Alíquotas ICMS'!$E7:$L7,0)-2),K$4)-K$4)*J7)/(EOMONTH(K$4,0)-K$4),4)</f>
        <v>0.18</v>
      </c>
      <c r="L38" s="140">
        <f ca="1">ROUND(((EOMONTH(L$4,0)-MAX(OFFSET('Alíquotas ICMS'!$E7,,MATCH(L7,'Alíquotas ICMS'!$E7:$L7,0)-2),L$4))*L7+(MAX(OFFSET('Alíquotas ICMS'!$E7,,MATCH(L7,'Alíquotas ICMS'!$E7:$L7,0)-2),L$4)-L$4)*K7)/(EOMONTH(L$4,0)-L$4),4)</f>
        <v>0.18</v>
      </c>
      <c r="M38" s="140">
        <f ca="1">ROUND(((EOMONTH(M$4,0)-MAX(OFFSET('Alíquotas ICMS'!$E7,,MATCH(M7,'Alíquotas ICMS'!$E7:$L7,0)-2),M$4))*M7+(MAX(OFFSET('Alíquotas ICMS'!$E7,,MATCH(M7,'Alíquotas ICMS'!$E7:$L7,0)-2),M$4)-M$4)*L7)/(EOMONTH(M$4,0)-M$4),4)</f>
        <v>0.18</v>
      </c>
      <c r="N38" s="140">
        <f ca="1">ROUND(((EOMONTH(N$4,0)-MAX(OFFSET('Alíquotas ICMS'!$E7,,MATCH(N7,'Alíquotas ICMS'!$E7:$L7,0)-2),N$4))*N7+(MAX(OFFSET('Alíquotas ICMS'!$E7,,MATCH(N7,'Alíquotas ICMS'!$E7:$L7,0)-2),N$4)-N$4)*M7)/(EOMONTH(N$4,0)-N$4),4)</f>
        <v>0.18</v>
      </c>
      <c r="O38" s="139">
        <f ca="1">ROUND(((EOMONTH(O$4,0)-MAX(OFFSET('Alíquotas ICMS'!$E7,,MATCH(O7,'Alíquotas ICMS'!$E7:$L7,0)-2),O$4))*O7+(MAX(OFFSET('Alíquotas ICMS'!$E7,,MATCH(O7,'Alíquotas ICMS'!$E7:$L7,0)-2),O$4)-O$4)*N7)/(EOMONTH(O$4,0)-O$4),4)</f>
        <v>0.18</v>
      </c>
    </row>
    <row r="39" spans="2:15" x14ac:dyDescent="0.25">
      <c r="B39" s="138" t="str">
        <f t="shared" si="1"/>
        <v>AP</v>
      </c>
      <c r="C39" s="137"/>
      <c r="D39" s="136">
        <f ca="1">ROUND(((EOMONTH(D$4,0)-MAX(OFFSET('Alíquotas ICMS'!$E8,,MATCH(D8,'Alíquotas ICMS'!$E8:$L8,0)-2),D$4))*D8+(MAX(OFFSET('Alíquotas ICMS'!$E8,,MATCH(D8,'Alíquotas ICMS'!$E8:$L8,0)-2),D$4)-D$4)*C8)/(EOMONTH(D$4,0)-D$4),4)</f>
        <v>0.28999999999999998</v>
      </c>
      <c r="E39" s="136">
        <f ca="1">ROUND(((EOMONTH(E$4,0)-MAX(OFFSET('Alíquotas ICMS'!$E8,,MATCH(E8,'Alíquotas ICMS'!$E8:$L8,0)-2),E$4))*E8+(MAX(OFFSET('Alíquotas ICMS'!$E8,,MATCH(E8,'Alíquotas ICMS'!$E8:$L8,0)-2),E$4)-E$4)*D8)/(EOMONTH(E$4,0)-E$4),4)</f>
        <v>0.28999999999999998</v>
      </c>
      <c r="F39" s="136">
        <f ca="1">ROUND(((EOMONTH(F$4,0)-MAX(OFFSET('Alíquotas ICMS'!$E8,,MATCH(F8,'Alíquotas ICMS'!$E8:$L8,0)-2),F$4))*F8+(MAX(OFFSET('Alíquotas ICMS'!$E8,,MATCH(F8,'Alíquotas ICMS'!$E8:$L8,0)-2),F$4)-F$4)*E8)/(EOMONTH(F$4,0)-F$4),4)</f>
        <v>0.28999999999999998</v>
      </c>
      <c r="G39" s="136">
        <f ca="1">ROUND(((EOMONTH(G$4,0)-MAX(OFFSET('Alíquotas ICMS'!$E8,,MATCH(G8,'Alíquotas ICMS'!$E8:$L8,0)-2),G$4))*G8+(MAX(OFFSET('Alíquotas ICMS'!$E8,,MATCH(G8,'Alíquotas ICMS'!$E8:$L8,0)-2),G$4)-G$4)*F8)/(EOMONTH(G$4,0)-G$4),4)</f>
        <v>0.28999999999999998</v>
      </c>
      <c r="H39" s="136">
        <f ca="1">ROUND(((EOMONTH(H$4,0)-MAX(OFFSET('Alíquotas ICMS'!$E8,,MATCH(H8,'Alíquotas ICMS'!$E8:$L8,0)-2),H$4))*H8+(MAX(OFFSET('Alíquotas ICMS'!$E8,,MATCH(H8,'Alíquotas ICMS'!$E8:$L8,0)-2),H$4)-H$4)*G8)/(EOMONTH(H$4,0)-H$4),4)</f>
        <v>0.28999999999999998</v>
      </c>
      <c r="I39" s="136">
        <f ca="1">ROUND(((EOMONTH(I$4,0)-MAX(OFFSET('Alíquotas ICMS'!$E8,,MATCH(I8,'Alíquotas ICMS'!$E8:$L8,0)-2),I$4))*I8+(MAX(OFFSET('Alíquotas ICMS'!$E8,,MATCH(I8,'Alíquotas ICMS'!$E8:$L8,0)-2),I$4)-I$4)*H8)/(EOMONTH(I$4,0)-I$4),4)</f>
        <v>0.28999999999999998</v>
      </c>
      <c r="J39" s="136">
        <f ca="1">ROUND(((EOMONTH(J$4,0)-MAX(OFFSET('Alíquotas ICMS'!$E8,,MATCH(J8,'Alíquotas ICMS'!$E8:$L8,0)-2),J$4))*J8+(MAX(OFFSET('Alíquotas ICMS'!$E8,,MATCH(J8,'Alíquotas ICMS'!$E8:$L8,0)-2),J$4)-J$4)*I8)/(EOMONTH(J$4,0)-J$4),4)</f>
        <v>0.28999999999999998</v>
      </c>
      <c r="K39" s="136">
        <f ca="1">ROUND(((EOMONTH(K$4,0)-MAX(OFFSET('Alíquotas ICMS'!$E8,,MATCH(K8,'Alíquotas ICMS'!$E8:$L8,0)-2),K$4))*K8+(MAX(OFFSET('Alíquotas ICMS'!$E8,,MATCH(K8,'Alíquotas ICMS'!$E8:$L8,0)-2),K$4)-K$4)*J8)/(EOMONTH(K$4,0)-K$4),4)</f>
        <v>0.28999999999999998</v>
      </c>
      <c r="L39" s="136">
        <f ca="1">ROUND(((EOMONTH(L$4,0)-MAX(OFFSET('Alíquotas ICMS'!$E8,,MATCH(L8,'Alíquotas ICMS'!$E8:$L8,0)-2),L$4))*L8+(MAX(OFFSET('Alíquotas ICMS'!$E8,,MATCH(L8,'Alíquotas ICMS'!$E8:$L8,0)-2),L$4)-L$4)*K8)/(EOMONTH(L$4,0)-L$4),4)</f>
        <v>0.28999999999999998</v>
      </c>
      <c r="M39" s="136">
        <f ca="1">ROUND(((EOMONTH(M$4,0)-MAX(OFFSET('Alíquotas ICMS'!$E8,,MATCH(M8,'Alíquotas ICMS'!$E8:$L8,0)-2),M$4))*M8+(MAX(OFFSET('Alíquotas ICMS'!$E8,,MATCH(M8,'Alíquotas ICMS'!$E8:$L8,0)-2),M$4)-M$4)*L8)/(EOMONTH(M$4,0)-M$4),4)</f>
        <v>0.28999999999999998</v>
      </c>
      <c r="N39" s="136">
        <f ca="1">ROUND(((EOMONTH(N$4,0)-MAX(OFFSET('Alíquotas ICMS'!$E8,,MATCH(N8,'Alíquotas ICMS'!$E8:$L8,0)-2),N$4))*N8+(MAX(OFFSET('Alíquotas ICMS'!$E8,,MATCH(N8,'Alíquotas ICMS'!$E8:$L8,0)-2),N$4)-N$4)*M8)/(EOMONTH(N$4,0)-N$4),4)</f>
        <v>0.28999999999999998</v>
      </c>
      <c r="O39" s="135">
        <f ca="1">ROUND(((EOMONTH(O$4,0)-MAX(OFFSET('Alíquotas ICMS'!$E8,,MATCH(O8,'Alíquotas ICMS'!$E8:$L8,0)-2),O$4))*O8+(MAX(OFFSET('Alíquotas ICMS'!$E8,,MATCH(O8,'Alíquotas ICMS'!$E8:$L8,0)-2),O$4)-O$4)*N8)/(EOMONTH(O$4,0)-O$4),4)</f>
        <v>0.28999999999999998</v>
      </c>
    </row>
    <row r="40" spans="2:15" x14ac:dyDescent="0.25">
      <c r="B40" s="142" t="str">
        <f t="shared" si="1"/>
        <v>BA</v>
      </c>
      <c r="C40" s="141"/>
      <c r="D40" s="140">
        <f ca="1">ROUND(((EOMONTH(D$4,0)-MAX(OFFSET('Alíquotas ICMS'!$E9,,MATCH(D9,'Alíquotas ICMS'!$E9:$L9,0)-2),D$4))*D9+(MAX(OFFSET('Alíquotas ICMS'!$E9,,MATCH(D9,'Alíquotas ICMS'!$E9:$L9,0)-2),D$4)-D$4)*C9)/(EOMONTH(D$4,0)-D$4),4)</f>
        <v>0.28000000000000003</v>
      </c>
      <c r="E40" s="140">
        <f ca="1">ROUND(((EOMONTH(E$4,0)-MAX(OFFSET('Alíquotas ICMS'!$E9,,MATCH(E9,'Alíquotas ICMS'!$E9:$L9,0)-2),E$4))*E9+(MAX(OFFSET('Alíquotas ICMS'!$E9,,MATCH(E9,'Alíquotas ICMS'!$E9:$L9,0)-2),E$4)-E$4)*D9)/(EOMONTH(E$4,0)-E$4),4)</f>
        <v>0.28000000000000003</v>
      </c>
      <c r="F40" s="140">
        <f ca="1">ROUND(((EOMONTH(F$4,0)-MAX(OFFSET('Alíquotas ICMS'!$E9,,MATCH(F9,'Alíquotas ICMS'!$E9:$L9,0)-2),F$4))*F9+(MAX(OFFSET('Alíquotas ICMS'!$E9,,MATCH(F9,'Alíquotas ICMS'!$E9:$L9,0)-2),F$4)-F$4)*E9)/(EOMONTH(F$4,0)-F$4),4)</f>
        <v>0.28000000000000003</v>
      </c>
      <c r="G40" s="140">
        <f ca="1">ROUND(((EOMONTH(G$4,0)-MAX(OFFSET('Alíquotas ICMS'!$E9,,MATCH(G9,'Alíquotas ICMS'!$E9:$L9,0)-2),G$4))*G9+(MAX(OFFSET('Alíquotas ICMS'!$E9,,MATCH(G9,'Alíquotas ICMS'!$E9:$L9,0)-2),G$4)-G$4)*F9)/(EOMONTH(G$4,0)-G$4),4)</f>
        <v>0.28000000000000003</v>
      </c>
      <c r="H40" s="140">
        <f ca="1">ROUND(((EOMONTH(H$4,0)-MAX(OFFSET('Alíquotas ICMS'!$E9,,MATCH(H9,'Alíquotas ICMS'!$E9:$L9,0)-2),H$4))*H9+(MAX(OFFSET('Alíquotas ICMS'!$E9,,MATCH(H9,'Alíquotas ICMS'!$E9:$L9,0)-2),H$4)-H$4)*G9)/(EOMONTH(H$4,0)-H$4),4)</f>
        <v>0.28000000000000003</v>
      </c>
      <c r="I40" s="140">
        <f ca="1">ROUND(((EOMONTH(I$4,0)-MAX(OFFSET('Alíquotas ICMS'!$E9,,MATCH(I9,'Alíquotas ICMS'!$E9:$L9,0)-2),I$4))*I9+(MAX(OFFSET('Alíquotas ICMS'!$E9,,MATCH(I9,'Alíquotas ICMS'!$E9:$L9,0)-2),I$4)-I$4)*H9)/(EOMONTH(I$4,0)-I$4),4)</f>
        <v>0.25590000000000002</v>
      </c>
      <c r="J40" s="140">
        <f ca="1">ROUND(((EOMONTH(J$4,0)-MAX(OFFSET('Alíquotas ICMS'!$E9,,MATCH(J9,'Alíquotas ICMS'!$E9:$L9,0)-2),J$4))*J9+(MAX(OFFSET('Alíquotas ICMS'!$E9,,MATCH(J9,'Alíquotas ICMS'!$E9:$L9,0)-2),J$4)-J$4)*I9)/(EOMONTH(J$4,0)-J$4),4)</f>
        <v>0.18</v>
      </c>
      <c r="K40" s="140">
        <f ca="1">ROUND(((EOMONTH(K$4,0)-MAX(OFFSET('Alíquotas ICMS'!$E9,,MATCH(K9,'Alíquotas ICMS'!$E9:$L9,0)-2),K$4))*K9+(MAX(OFFSET('Alíquotas ICMS'!$E9,,MATCH(K9,'Alíquotas ICMS'!$E9:$L9,0)-2),K$4)-K$4)*J9)/(EOMONTH(K$4,0)-K$4),4)</f>
        <v>0.18</v>
      </c>
      <c r="L40" s="140">
        <f ca="1">ROUND(((EOMONTH(L$4,0)-MAX(OFFSET('Alíquotas ICMS'!$E9,,MATCH(L9,'Alíquotas ICMS'!$E9:$L9,0)-2),L$4))*L9+(MAX(OFFSET('Alíquotas ICMS'!$E9,,MATCH(L9,'Alíquotas ICMS'!$E9:$L9,0)-2),L$4)-L$4)*K9)/(EOMONTH(L$4,0)-L$4),4)</f>
        <v>0.18</v>
      </c>
      <c r="M40" s="140">
        <f ca="1">ROUND(((EOMONTH(M$4,0)-MAX(OFFSET('Alíquotas ICMS'!$E9,,MATCH(M9,'Alíquotas ICMS'!$E9:$L9,0)-2),M$4))*M9+(MAX(OFFSET('Alíquotas ICMS'!$E9,,MATCH(M9,'Alíquotas ICMS'!$E9:$L9,0)-2),M$4)-M$4)*L9)/(EOMONTH(M$4,0)-M$4),4)</f>
        <v>0.18</v>
      </c>
      <c r="N40" s="140">
        <f ca="1">ROUND(((EOMONTH(N$4,0)-MAX(OFFSET('Alíquotas ICMS'!$E9,,MATCH(N9,'Alíquotas ICMS'!$E9:$L9,0)-2),N$4))*N9+(MAX(OFFSET('Alíquotas ICMS'!$E9,,MATCH(N9,'Alíquotas ICMS'!$E9:$L9,0)-2),N$4)-N$4)*M9)/(EOMONTH(N$4,0)-N$4),4)</f>
        <v>0.18</v>
      </c>
      <c r="O40" s="139">
        <f ca="1">ROUND(((EOMONTH(O$4,0)-MAX(OFFSET('Alíquotas ICMS'!$E9,,MATCH(O9,'Alíquotas ICMS'!$E9:$L9,0)-2),O$4))*O9+(MAX(OFFSET('Alíquotas ICMS'!$E9,,MATCH(O9,'Alíquotas ICMS'!$E9:$L9,0)-2),O$4)-O$4)*N9)/(EOMONTH(O$4,0)-O$4),4)</f>
        <v>0.18</v>
      </c>
    </row>
    <row r="41" spans="2:15" x14ac:dyDescent="0.25">
      <c r="B41" s="138" t="str">
        <f t="shared" si="1"/>
        <v>CE</v>
      </c>
      <c r="C41" s="137"/>
      <c r="D41" s="136">
        <f ca="1">ROUND(((EOMONTH(D$4,0)-MAX(OFFSET('Alíquotas ICMS'!$E10,,MATCH(D10,'Alíquotas ICMS'!$E10:$L10,0)-2),D$4))*D10+(MAX(OFFSET('Alíquotas ICMS'!$E10,,MATCH(D10,'Alíquotas ICMS'!$E10:$L10,0)-2),D$4)-D$4)*C10)/(EOMONTH(D$4,0)-D$4),4)</f>
        <v>0.3</v>
      </c>
      <c r="E41" s="136">
        <f ca="1">ROUND(((EOMONTH(E$4,0)-MAX(OFFSET('Alíquotas ICMS'!$E10,,MATCH(E10,'Alíquotas ICMS'!$E10:$L10,0)-2),E$4))*E10+(MAX(OFFSET('Alíquotas ICMS'!$E10,,MATCH(E10,'Alíquotas ICMS'!$E10:$L10,0)-2),E$4)-E$4)*D10)/(EOMONTH(E$4,0)-E$4),4)</f>
        <v>0.3</v>
      </c>
      <c r="F41" s="136">
        <f ca="1">ROUND(((EOMONTH(F$4,0)-MAX(OFFSET('Alíquotas ICMS'!$E10,,MATCH(F10,'Alíquotas ICMS'!$E10:$L10,0)-2),F$4))*F10+(MAX(OFFSET('Alíquotas ICMS'!$E10,,MATCH(F10,'Alíquotas ICMS'!$E10:$L10,0)-2),F$4)-F$4)*E10)/(EOMONTH(F$4,0)-F$4),4)</f>
        <v>0.3</v>
      </c>
      <c r="G41" s="136">
        <f ca="1">ROUND(((EOMONTH(G$4,0)-MAX(OFFSET('Alíquotas ICMS'!$E10,,MATCH(G10,'Alíquotas ICMS'!$E10:$L10,0)-2),G$4))*G10+(MAX(OFFSET('Alíquotas ICMS'!$E10,,MATCH(G10,'Alíquotas ICMS'!$E10:$L10,0)-2),G$4)-G$4)*F10)/(EOMONTH(G$4,0)-G$4),4)</f>
        <v>0.3</v>
      </c>
      <c r="H41" s="136">
        <f ca="1">ROUND(((EOMONTH(H$4,0)-MAX(OFFSET('Alíquotas ICMS'!$E10,,MATCH(H10,'Alíquotas ICMS'!$E10:$L10,0)-2),H$4))*H10+(MAX(OFFSET('Alíquotas ICMS'!$E10,,MATCH(H10,'Alíquotas ICMS'!$E10:$L10,0)-2),H$4)-H$4)*G10)/(EOMONTH(H$4,0)-H$4),4)</f>
        <v>0.3</v>
      </c>
      <c r="I41" s="136">
        <f ca="1">ROUND(((EOMONTH(I$4,0)-MAX(OFFSET('Alíquotas ICMS'!$E10,,MATCH(I10,'Alíquotas ICMS'!$E10:$L10,0)-2),I$4))*I10+(MAX(OFFSET('Alíquotas ICMS'!$E10,,MATCH(I10,'Alíquotas ICMS'!$E10:$L10,0)-2),I$4)-I$4)*H10)/(EOMONTH(I$4,0)-I$4),4)</f>
        <v>0.3</v>
      </c>
      <c r="J41" s="136">
        <f ca="1">ROUND(((EOMONTH(J$4,0)-MAX(OFFSET('Alíquotas ICMS'!$E10,,MATCH(J10,'Alíquotas ICMS'!$E10:$L10,0)-2),J$4))*J10+(MAX(OFFSET('Alíquotas ICMS'!$E10,,MATCH(J10,'Alíquotas ICMS'!$E10:$L10,0)-2),J$4)-J$4)*I10)/(EOMONTH(J$4,0)-J$4),4)</f>
        <v>0.224</v>
      </c>
      <c r="K41" s="136">
        <f ca="1">ROUND(((EOMONTH(K$4,0)-MAX(OFFSET('Alíquotas ICMS'!$E10,,MATCH(K10,'Alíquotas ICMS'!$E10:$L10,0)-2),K$4))*K10+(MAX(OFFSET('Alíquotas ICMS'!$E10,,MATCH(K10,'Alíquotas ICMS'!$E10:$L10,0)-2),K$4)-K$4)*J10)/(EOMONTH(K$4,0)-K$4),4)</f>
        <v>0.18</v>
      </c>
      <c r="L41" s="136">
        <f ca="1">ROUND(((EOMONTH(L$4,0)-MAX(OFFSET('Alíquotas ICMS'!$E10,,MATCH(L10,'Alíquotas ICMS'!$E10:$L10,0)-2),L$4))*L10+(MAX(OFFSET('Alíquotas ICMS'!$E10,,MATCH(L10,'Alíquotas ICMS'!$E10:$L10,0)-2),L$4)-L$4)*K10)/(EOMONTH(L$4,0)-L$4),4)</f>
        <v>0.18</v>
      </c>
      <c r="M41" s="136">
        <f ca="1">ROUND(((EOMONTH(M$4,0)-MAX(OFFSET('Alíquotas ICMS'!$E10,,MATCH(M10,'Alíquotas ICMS'!$E10:$L10,0)-2),M$4))*M10+(MAX(OFFSET('Alíquotas ICMS'!$E10,,MATCH(M10,'Alíquotas ICMS'!$E10:$L10,0)-2),M$4)-M$4)*L10)/(EOMONTH(M$4,0)-M$4),4)</f>
        <v>0.18</v>
      </c>
      <c r="N41" s="136">
        <f ca="1">ROUND(((EOMONTH(N$4,0)-MAX(OFFSET('Alíquotas ICMS'!$E10,,MATCH(N10,'Alíquotas ICMS'!$E10:$L10,0)-2),N$4))*N10+(MAX(OFFSET('Alíquotas ICMS'!$E10,,MATCH(N10,'Alíquotas ICMS'!$E10:$L10,0)-2),N$4)-N$4)*M10)/(EOMONTH(N$4,0)-N$4),4)</f>
        <v>0.18</v>
      </c>
      <c r="O41" s="135">
        <f ca="1">ROUND(((EOMONTH(O$4,0)-MAX(OFFSET('Alíquotas ICMS'!$E10,,MATCH(O10,'Alíquotas ICMS'!$E10:$L10,0)-2),O$4))*O10+(MAX(OFFSET('Alíquotas ICMS'!$E10,,MATCH(O10,'Alíquotas ICMS'!$E10:$L10,0)-2),O$4)-O$4)*N10)/(EOMONTH(O$4,0)-O$4),4)</f>
        <v>0.18</v>
      </c>
    </row>
    <row r="42" spans="2:15" x14ac:dyDescent="0.25">
      <c r="B42" s="142" t="str">
        <f t="shared" si="1"/>
        <v>DF</v>
      </c>
      <c r="C42" s="141"/>
      <c r="D42" s="140">
        <f ca="1">ROUND(((EOMONTH(D$4,0)-MAX(OFFSET('Alíquotas ICMS'!$E11,,MATCH(D11,'Alíquotas ICMS'!$E11:$L11,0)-2),D$4))*D11+(MAX(OFFSET('Alíquotas ICMS'!$E11,,MATCH(D11,'Alíquotas ICMS'!$E11:$L11,0)-2),D$4)-D$4)*C11)/(EOMONTH(D$4,0)-D$4),4)</f>
        <v>0.28000000000000003</v>
      </c>
      <c r="E42" s="140">
        <f ca="1">ROUND(((EOMONTH(E$4,0)-MAX(OFFSET('Alíquotas ICMS'!$E11,,MATCH(E11,'Alíquotas ICMS'!$E11:$L11,0)-2),E$4))*E11+(MAX(OFFSET('Alíquotas ICMS'!$E11,,MATCH(E11,'Alíquotas ICMS'!$E11:$L11,0)-2),E$4)-E$4)*D11)/(EOMONTH(E$4,0)-E$4),4)</f>
        <v>0.28000000000000003</v>
      </c>
      <c r="F42" s="140">
        <f ca="1">ROUND(((EOMONTH(F$4,0)-MAX(OFFSET('Alíquotas ICMS'!$E11,,MATCH(F11,'Alíquotas ICMS'!$E11:$L11,0)-2),F$4))*F11+(MAX(OFFSET('Alíquotas ICMS'!$E11,,MATCH(F11,'Alíquotas ICMS'!$E11:$L11,0)-2),F$4)-F$4)*E11)/(EOMONTH(F$4,0)-F$4),4)</f>
        <v>0.28000000000000003</v>
      </c>
      <c r="G42" s="140">
        <f ca="1">ROUND(((EOMONTH(G$4,0)-MAX(OFFSET('Alíquotas ICMS'!$E11,,MATCH(G11,'Alíquotas ICMS'!$E11:$L11,0)-2),G$4))*G11+(MAX(OFFSET('Alíquotas ICMS'!$E11,,MATCH(G11,'Alíquotas ICMS'!$E11:$L11,0)-2),G$4)-G$4)*F11)/(EOMONTH(G$4,0)-G$4),4)</f>
        <v>0.28000000000000003</v>
      </c>
      <c r="H42" s="140">
        <f ca="1">ROUND(((EOMONTH(H$4,0)-MAX(OFFSET('Alíquotas ICMS'!$E11,,MATCH(H11,'Alíquotas ICMS'!$E11:$L11,0)-2),H$4))*H11+(MAX(OFFSET('Alíquotas ICMS'!$E11,,MATCH(H11,'Alíquotas ICMS'!$E11:$L11,0)-2),H$4)-H$4)*G11)/(EOMONTH(H$4,0)-H$4),4)</f>
        <v>0.28000000000000003</v>
      </c>
      <c r="I42" s="140">
        <f ca="1">ROUND(((EOMONTH(I$4,0)-MAX(OFFSET('Alíquotas ICMS'!$E11,,MATCH(I11,'Alíquotas ICMS'!$E11:$L11,0)-2),I$4))*I11+(MAX(OFFSET('Alíquotas ICMS'!$E11,,MATCH(I11,'Alíquotas ICMS'!$E11:$L11,0)-2),I$4)-I$4)*H11)/(EOMONTH(I$4,0)-I$4),4)</f>
        <v>0.25590000000000002</v>
      </c>
      <c r="J42" s="140">
        <f ca="1">ROUND(((EOMONTH(J$4,0)-MAX(OFFSET('Alíquotas ICMS'!$E11,,MATCH(J11,'Alíquotas ICMS'!$E11:$L11,0)-2),J$4))*J11+(MAX(OFFSET('Alíquotas ICMS'!$E11,,MATCH(J11,'Alíquotas ICMS'!$E11:$L11,0)-2),J$4)-J$4)*I11)/(EOMONTH(J$4,0)-J$4),4)</f>
        <v>0.18</v>
      </c>
      <c r="K42" s="140">
        <f ca="1">ROUND(((EOMONTH(K$4,0)-MAX(OFFSET('Alíquotas ICMS'!$E11,,MATCH(K11,'Alíquotas ICMS'!$E11:$L11,0)-2),K$4))*K11+(MAX(OFFSET('Alíquotas ICMS'!$E11,,MATCH(K11,'Alíquotas ICMS'!$E11:$L11,0)-2),K$4)-K$4)*J11)/(EOMONTH(K$4,0)-K$4),4)</f>
        <v>0.18</v>
      </c>
      <c r="L42" s="140">
        <f ca="1">ROUND(((EOMONTH(L$4,0)-MAX(OFFSET('Alíquotas ICMS'!$E11,,MATCH(L11,'Alíquotas ICMS'!$E11:$L11,0)-2),L$4))*L11+(MAX(OFFSET('Alíquotas ICMS'!$E11,,MATCH(L11,'Alíquotas ICMS'!$E11:$L11,0)-2),L$4)-L$4)*K11)/(EOMONTH(L$4,0)-L$4),4)</f>
        <v>0.18</v>
      </c>
      <c r="M42" s="140">
        <f ca="1">ROUND(((EOMONTH(M$4,0)-MAX(OFFSET('Alíquotas ICMS'!$E11,,MATCH(M11,'Alíquotas ICMS'!$E11:$L11,0)-2),M$4))*M11+(MAX(OFFSET('Alíquotas ICMS'!$E11,,MATCH(M11,'Alíquotas ICMS'!$E11:$L11,0)-2),M$4)-M$4)*L11)/(EOMONTH(M$4,0)-M$4),4)</f>
        <v>0.18</v>
      </c>
      <c r="N42" s="140">
        <f ca="1">ROUND(((EOMONTH(N$4,0)-MAX(OFFSET('Alíquotas ICMS'!$E11,,MATCH(N11,'Alíquotas ICMS'!$E11:$L11,0)-2),N$4))*N11+(MAX(OFFSET('Alíquotas ICMS'!$E11,,MATCH(N11,'Alíquotas ICMS'!$E11:$L11,0)-2),N$4)-N$4)*M11)/(EOMONTH(N$4,0)-N$4),4)</f>
        <v>0.18</v>
      </c>
      <c r="O42" s="139">
        <f ca="1">ROUND(((EOMONTH(O$4,0)-MAX(OFFSET('Alíquotas ICMS'!$E11,,MATCH(O11,'Alíquotas ICMS'!$E11:$L11,0)-2),O$4))*O11+(MAX(OFFSET('Alíquotas ICMS'!$E11,,MATCH(O11,'Alíquotas ICMS'!$E11:$L11,0)-2),O$4)-O$4)*N11)/(EOMONTH(O$4,0)-O$4),4)</f>
        <v>0.18</v>
      </c>
    </row>
    <row r="43" spans="2:15" x14ac:dyDescent="0.25">
      <c r="B43" s="138" t="str">
        <f t="shared" si="1"/>
        <v>ES</v>
      </c>
      <c r="C43" s="137"/>
      <c r="D43" s="136">
        <f ca="1">ROUND(((EOMONTH(D$4,0)-MAX(OFFSET('Alíquotas ICMS'!$E12,,MATCH(D12,'Alíquotas ICMS'!$E12:$L12,0)-2),D$4))*D12+(MAX(OFFSET('Alíquotas ICMS'!$E12,,MATCH(D12,'Alíquotas ICMS'!$E12:$L12,0)-2),D$4)-D$4)*C12)/(EOMONTH(D$4,0)-D$4),4)</f>
        <v>0.25</v>
      </c>
      <c r="E43" s="136">
        <f ca="1">ROUND(((EOMONTH(E$4,0)-MAX(OFFSET('Alíquotas ICMS'!$E12,,MATCH(E12,'Alíquotas ICMS'!$E12:$L12,0)-2),E$4))*E12+(MAX(OFFSET('Alíquotas ICMS'!$E12,,MATCH(E12,'Alíquotas ICMS'!$E12:$L12,0)-2),E$4)-E$4)*D12)/(EOMONTH(E$4,0)-E$4),4)</f>
        <v>0.25</v>
      </c>
      <c r="F43" s="136">
        <f ca="1">ROUND(((EOMONTH(F$4,0)-MAX(OFFSET('Alíquotas ICMS'!$E12,,MATCH(F12,'Alíquotas ICMS'!$E12:$L12,0)-2),F$4))*F12+(MAX(OFFSET('Alíquotas ICMS'!$E12,,MATCH(F12,'Alíquotas ICMS'!$E12:$L12,0)-2),F$4)-F$4)*E12)/(EOMONTH(F$4,0)-F$4),4)</f>
        <v>0.25</v>
      </c>
      <c r="G43" s="136">
        <f ca="1">ROUND(((EOMONTH(G$4,0)-MAX(OFFSET('Alíquotas ICMS'!$E12,,MATCH(G12,'Alíquotas ICMS'!$E12:$L12,0)-2),G$4))*G12+(MAX(OFFSET('Alíquotas ICMS'!$E12,,MATCH(G12,'Alíquotas ICMS'!$E12:$L12,0)-2),G$4)-G$4)*F12)/(EOMONTH(G$4,0)-G$4),4)</f>
        <v>0.25</v>
      </c>
      <c r="H43" s="136">
        <f ca="1">ROUND(((EOMONTH(H$4,0)-MAX(OFFSET('Alíquotas ICMS'!$E12,,MATCH(H12,'Alíquotas ICMS'!$E12:$L12,0)-2),H$4))*H12+(MAX(OFFSET('Alíquotas ICMS'!$E12,,MATCH(H12,'Alíquotas ICMS'!$E12:$L12,0)-2),H$4)-H$4)*G12)/(EOMONTH(H$4,0)-H$4),4)</f>
        <v>0.25</v>
      </c>
      <c r="I43" s="136">
        <f ca="1">ROUND(((EOMONTH(I$4,0)-MAX(OFFSET('Alíquotas ICMS'!$E12,,MATCH(I12,'Alíquotas ICMS'!$E12:$L12,0)-2),I$4))*I12+(MAX(OFFSET('Alíquotas ICMS'!$E12,,MATCH(I12,'Alíquotas ICMS'!$E12:$L12,0)-2),I$4)-I$4)*H12)/(EOMONTH(I$4,0)-I$4),4)</f>
        <v>0.25</v>
      </c>
      <c r="J43" s="136">
        <f ca="1">ROUND(((EOMONTH(J$4,0)-MAX(OFFSET('Alíquotas ICMS'!$E12,,MATCH(J12,'Alíquotas ICMS'!$E12:$L12,0)-2),J$4))*J12+(MAX(OFFSET('Alíquotas ICMS'!$E12,,MATCH(J12,'Alíquotas ICMS'!$E12:$L12,0)-2),J$4)-J$4)*I12)/(EOMONTH(J$4,0)-J$4),4)</f>
        <v>0.17</v>
      </c>
      <c r="K43" s="136">
        <f ca="1">ROUND(((EOMONTH(K$4,0)-MAX(OFFSET('Alíquotas ICMS'!$E12,,MATCH(K12,'Alíquotas ICMS'!$E12:$L12,0)-2),K$4))*K12+(MAX(OFFSET('Alíquotas ICMS'!$E12,,MATCH(K12,'Alíquotas ICMS'!$E12:$L12,0)-2),K$4)-K$4)*J12)/(EOMONTH(K$4,0)-K$4),4)</f>
        <v>0.17</v>
      </c>
      <c r="L43" s="136">
        <f ca="1">ROUND(((EOMONTH(L$4,0)-MAX(OFFSET('Alíquotas ICMS'!$E12,,MATCH(L12,'Alíquotas ICMS'!$E12:$L12,0)-2),L$4))*L12+(MAX(OFFSET('Alíquotas ICMS'!$E12,,MATCH(L12,'Alíquotas ICMS'!$E12:$L12,0)-2),L$4)-L$4)*K12)/(EOMONTH(L$4,0)-L$4),4)</f>
        <v>0.17</v>
      </c>
      <c r="M43" s="136">
        <f ca="1">ROUND(((EOMONTH(M$4,0)-MAX(OFFSET('Alíquotas ICMS'!$E12,,MATCH(M12,'Alíquotas ICMS'!$E12:$L12,0)-2),M$4))*M12+(MAX(OFFSET('Alíquotas ICMS'!$E12,,MATCH(M12,'Alíquotas ICMS'!$E12:$L12,0)-2),M$4)-M$4)*L12)/(EOMONTH(M$4,0)-M$4),4)</f>
        <v>0.17</v>
      </c>
      <c r="N43" s="136">
        <f ca="1">ROUND(((EOMONTH(N$4,0)-MAX(OFFSET('Alíquotas ICMS'!$E12,,MATCH(N12,'Alíquotas ICMS'!$E12:$L12,0)-2),N$4))*N12+(MAX(OFFSET('Alíquotas ICMS'!$E12,,MATCH(N12,'Alíquotas ICMS'!$E12:$L12,0)-2),N$4)-N$4)*M12)/(EOMONTH(N$4,0)-N$4),4)</f>
        <v>0.17</v>
      </c>
      <c r="O43" s="135">
        <f ca="1">ROUND(((EOMONTH(O$4,0)-MAX(OFFSET('Alíquotas ICMS'!$E12,,MATCH(O12,'Alíquotas ICMS'!$E12:$L12,0)-2),O$4))*O12+(MAX(OFFSET('Alíquotas ICMS'!$E12,,MATCH(O12,'Alíquotas ICMS'!$E12:$L12,0)-2),O$4)-O$4)*N12)/(EOMONTH(O$4,0)-O$4),4)</f>
        <v>0.17</v>
      </c>
    </row>
    <row r="44" spans="2:15" x14ac:dyDescent="0.25">
      <c r="B44" s="142" t="str">
        <f t="shared" si="1"/>
        <v>GO</v>
      </c>
      <c r="C44" s="141"/>
      <c r="D44" s="140">
        <f ca="1">ROUND(((EOMONTH(D$4,0)-MAX(OFFSET('Alíquotas ICMS'!$E13,,MATCH(D13,'Alíquotas ICMS'!$E13:$L13,0)-2),D$4))*D13+(MAX(OFFSET('Alíquotas ICMS'!$E13,,MATCH(D13,'Alíquotas ICMS'!$E13:$L13,0)-2),D$4)-D$4)*C13)/(EOMONTH(D$4,0)-D$4),4)</f>
        <v>0.28999999999999998</v>
      </c>
      <c r="E44" s="140">
        <f ca="1">ROUND(((EOMONTH(E$4,0)-MAX(OFFSET('Alíquotas ICMS'!$E13,,MATCH(E13,'Alíquotas ICMS'!$E13:$L13,0)-2),E$4))*E13+(MAX(OFFSET('Alíquotas ICMS'!$E13,,MATCH(E13,'Alíquotas ICMS'!$E13:$L13,0)-2),E$4)-E$4)*D13)/(EOMONTH(E$4,0)-E$4),4)</f>
        <v>0.28999999999999998</v>
      </c>
      <c r="F44" s="140">
        <f ca="1">ROUND(((EOMONTH(F$4,0)-MAX(OFFSET('Alíquotas ICMS'!$E13,,MATCH(F13,'Alíquotas ICMS'!$E13:$L13,0)-2),F$4))*F13+(MAX(OFFSET('Alíquotas ICMS'!$E13,,MATCH(F13,'Alíquotas ICMS'!$E13:$L13,0)-2),F$4)-F$4)*E13)/(EOMONTH(F$4,0)-F$4),4)</f>
        <v>0.28999999999999998</v>
      </c>
      <c r="G44" s="140">
        <f ca="1">ROUND(((EOMONTH(G$4,0)-MAX(OFFSET('Alíquotas ICMS'!$E13,,MATCH(G13,'Alíquotas ICMS'!$E13:$L13,0)-2),G$4))*G13+(MAX(OFFSET('Alíquotas ICMS'!$E13,,MATCH(G13,'Alíquotas ICMS'!$E13:$L13,0)-2),G$4)-G$4)*F13)/(EOMONTH(G$4,0)-G$4),4)</f>
        <v>0.28999999999999998</v>
      </c>
      <c r="H44" s="140">
        <f ca="1">ROUND(((EOMONTH(H$4,0)-MAX(OFFSET('Alíquotas ICMS'!$E13,,MATCH(H13,'Alíquotas ICMS'!$E13:$L13,0)-2),H$4))*H13+(MAX(OFFSET('Alíquotas ICMS'!$E13,,MATCH(H13,'Alíquotas ICMS'!$E13:$L13,0)-2),H$4)-H$4)*G13)/(EOMONTH(H$4,0)-H$4),4)</f>
        <v>0.28999999999999998</v>
      </c>
      <c r="I44" s="140">
        <f ca="1">ROUND(((EOMONTH(I$4,0)-MAX(OFFSET('Alíquotas ICMS'!$E13,,MATCH(I13,'Alíquotas ICMS'!$E13:$L13,0)-2),I$4))*I13+(MAX(OFFSET('Alíquotas ICMS'!$E13,,MATCH(I13,'Alíquotas ICMS'!$E13:$L13,0)-2),I$4)-I$4)*H13)/(EOMONTH(I$4,0)-I$4),4)</f>
        <v>0.26100000000000001</v>
      </c>
      <c r="J44" s="140">
        <f ca="1">ROUND(((EOMONTH(J$4,0)-MAX(OFFSET('Alíquotas ICMS'!$E13,,MATCH(J13,'Alíquotas ICMS'!$E13:$L13,0)-2),J$4))*J13+(MAX(OFFSET('Alíquotas ICMS'!$E13,,MATCH(J13,'Alíquotas ICMS'!$E13:$L13,0)-2),J$4)-J$4)*I13)/(EOMONTH(J$4,0)-J$4),4)</f>
        <v>0.17</v>
      </c>
      <c r="K44" s="140">
        <f ca="1">ROUND(((EOMONTH(K$4,0)-MAX(OFFSET('Alíquotas ICMS'!$E13,,MATCH(K13,'Alíquotas ICMS'!$E13:$L13,0)-2),K$4))*K13+(MAX(OFFSET('Alíquotas ICMS'!$E13,,MATCH(K13,'Alíquotas ICMS'!$E13:$L13,0)-2),K$4)-K$4)*J13)/(EOMONTH(K$4,0)-K$4),4)</f>
        <v>0.17</v>
      </c>
      <c r="L44" s="140">
        <f ca="1">ROUND(((EOMONTH(L$4,0)-MAX(OFFSET('Alíquotas ICMS'!$E13,,MATCH(L13,'Alíquotas ICMS'!$E13:$L13,0)-2),L$4))*L13+(MAX(OFFSET('Alíquotas ICMS'!$E13,,MATCH(L13,'Alíquotas ICMS'!$E13:$L13,0)-2),L$4)-L$4)*K13)/(EOMONTH(L$4,0)-L$4),4)</f>
        <v>0.17</v>
      </c>
      <c r="M44" s="140">
        <f ca="1">ROUND(((EOMONTH(M$4,0)-MAX(OFFSET('Alíquotas ICMS'!$E13,,MATCH(M13,'Alíquotas ICMS'!$E13:$L13,0)-2),M$4))*M13+(MAX(OFFSET('Alíquotas ICMS'!$E13,,MATCH(M13,'Alíquotas ICMS'!$E13:$L13,0)-2),M$4)-M$4)*L13)/(EOMONTH(M$4,0)-M$4),4)</f>
        <v>0.17</v>
      </c>
      <c r="N44" s="140">
        <f ca="1">ROUND(((EOMONTH(N$4,0)-MAX(OFFSET('Alíquotas ICMS'!$E13,,MATCH(N13,'Alíquotas ICMS'!$E13:$L13,0)-2),N$4))*N13+(MAX(OFFSET('Alíquotas ICMS'!$E13,,MATCH(N13,'Alíquotas ICMS'!$E13:$L13,0)-2),N$4)-N$4)*M13)/(EOMONTH(N$4,0)-N$4),4)</f>
        <v>0.17</v>
      </c>
      <c r="O44" s="139">
        <f ca="1">ROUND(((EOMONTH(O$4,0)-MAX(OFFSET('Alíquotas ICMS'!$E13,,MATCH(O13,'Alíquotas ICMS'!$E13:$L13,0)-2),O$4))*O13+(MAX(OFFSET('Alíquotas ICMS'!$E13,,MATCH(O13,'Alíquotas ICMS'!$E13:$L13,0)-2),O$4)-O$4)*N13)/(EOMONTH(O$4,0)-O$4),4)</f>
        <v>0.17</v>
      </c>
    </row>
    <row r="45" spans="2:15" x14ac:dyDescent="0.25">
      <c r="B45" s="138" t="str">
        <f t="shared" si="1"/>
        <v>MA</v>
      </c>
      <c r="C45" s="137"/>
      <c r="D45" s="136">
        <f ca="1">ROUND(((EOMONTH(D$4,0)-MAX(OFFSET('Alíquotas ICMS'!$E14,,MATCH(D14,'Alíquotas ICMS'!$E14:$L14,0)-2),D$4))*D14+(MAX(OFFSET('Alíquotas ICMS'!$E14,,MATCH(D14,'Alíquotas ICMS'!$E14:$L14,0)-2),D$4)-D$4)*C14)/(EOMONTH(D$4,0)-D$4),4)</f>
        <v>0.28999999999999998</v>
      </c>
      <c r="E45" s="136">
        <f ca="1">ROUND(((EOMONTH(E$4,0)-MAX(OFFSET('Alíquotas ICMS'!$E14,,MATCH(E14,'Alíquotas ICMS'!$E14:$L14,0)-2),E$4))*E14+(MAX(OFFSET('Alíquotas ICMS'!$E14,,MATCH(E14,'Alíquotas ICMS'!$E14:$L14,0)-2),E$4)-E$4)*D14)/(EOMONTH(E$4,0)-E$4),4)</f>
        <v>0.28999999999999998</v>
      </c>
      <c r="F45" s="136">
        <f ca="1">ROUND(((EOMONTH(F$4,0)-MAX(OFFSET('Alíquotas ICMS'!$E14,,MATCH(F14,'Alíquotas ICMS'!$E14:$L14,0)-2),F$4))*F14+(MAX(OFFSET('Alíquotas ICMS'!$E14,,MATCH(F14,'Alíquotas ICMS'!$E14:$L14,0)-2),F$4)-F$4)*E14)/(EOMONTH(F$4,0)-F$4),4)</f>
        <v>0.28999999999999998</v>
      </c>
      <c r="G45" s="136">
        <f ca="1">ROUND(((EOMONTH(G$4,0)-MAX(OFFSET('Alíquotas ICMS'!$E14,,MATCH(G14,'Alíquotas ICMS'!$E14:$L14,0)-2),G$4))*G14+(MAX(OFFSET('Alíquotas ICMS'!$E14,,MATCH(G14,'Alíquotas ICMS'!$E14:$L14,0)-2),G$4)-G$4)*F14)/(EOMONTH(G$4,0)-G$4),4)</f>
        <v>0.28999999999999998</v>
      </c>
      <c r="H45" s="136">
        <f ca="1">ROUND(((EOMONTH(H$4,0)-MAX(OFFSET('Alíquotas ICMS'!$E14,,MATCH(H14,'Alíquotas ICMS'!$E14:$L14,0)-2),H$4))*H14+(MAX(OFFSET('Alíquotas ICMS'!$E14,,MATCH(H14,'Alíquotas ICMS'!$E14:$L14,0)-2),H$4)-H$4)*G14)/(EOMONTH(H$4,0)-H$4),4)</f>
        <v>0.28999999999999998</v>
      </c>
      <c r="I45" s="136">
        <f ca="1">ROUND(((EOMONTH(I$4,0)-MAX(OFFSET('Alíquotas ICMS'!$E14,,MATCH(I14,'Alíquotas ICMS'!$E14:$L14,0)-2),I$4))*I14+(MAX(OFFSET('Alíquotas ICMS'!$E14,,MATCH(I14,'Alíquotas ICMS'!$E14:$L14,0)-2),I$4)-I$4)*H14)/(EOMONTH(I$4,0)-I$4),4)</f>
        <v>0.28999999999999998</v>
      </c>
      <c r="J45" s="136">
        <f ca="1">ROUND(((EOMONTH(J$4,0)-MAX(OFFSET('Alíquotas ICMS'!$E14,,MATCH(J14,'Alíquotas ICMS'!$E14:$L14,0)-2),J$4))*J14+(MAX(OFFSET('Alíquotas ICMS'!$E14,,MATCH(J14,'Alíquotas ICMS'!$E14:$L14,0)-2),J$4)-J$4)*I14)/(EOMONTH(J$4,0)-J$4),4)</f>
        <v>0.224</v>
      </c>
      <c r="K45" s="136">
        <f ca="1">ROUND(((EOMONTH(K$4,0)-MAX(OFFSET('Alíquotas ICMS'!$E14,,MATCH(K14,'Alíquotas ICMS'!$E14:$L14,0)-2),K$4))*K14+(MAX(OFFSET('Alíquotas ICMS'!$E14,,MATCH(K14,'Alíquotas ICMS'!$E14:$L14,0)-2),K$4)-K$4)*J14)/(EOMONTH(K$4,0)-K$4),4)</f>
        <v>0.18</v>
      </c>
      <c r="L45" s="136">
        <f ca="1">ROUND(((EOMONTH(L$4,0)-MAX(OFFSET('Alíquotas ICMS'!$E14,,MATCH(L14,'Alíquotas ICMS'!$E14:$L14,0)-2),L$4))*L14+(MAX(OFFSET('Alíquotas ICMS'!$E14,,MATCH(L14,'Alíquotas ICMS'!$E14:$L14,0)-2),L$4)-L$4)*K14)/(EOMONTH(L$4,0)-L$4),4)</f>
        <v>0.18</v>
      </c>
      <c r="M45" s="136">
        <f ca="1">ROUND(((EOMONTH(M$4,0)-MAX(OFFSET('Alíquotas ICMS'!$E14,,MATCH(M14,'Alíquotas ICMS'!$E14:$L14,0)-2),M$4))*M14+(MAX(OFFSET('Alíquotas ICMS'!$E14,,MATCH(M14,'Alíquotas ICMS'!$E14:$L14,0)-2),M$4)-M$4)*L14)/(EOMONTH(M$4,0)-M$4),4)</f>
        <v>0.18</v>
      </c>
      <c r="N45" s="136">
        <f ca="1">ROUND(((EOMONTH(N$4,0)-MAX(OFFSET('Alíquotas ICMS'!$E14,,MATCH(N14,'Alíquotas ICMS'!$E14:$L14,0)-2),N$4))*N14+(MAX(OFFSET('Alíquotas ICMS'!$E14,,MATCH(N14,'Alíquotas ICMS'!$E14:$L14,0)-2),N$4)-N$4)*M14)/(EOMONTH(N$4,0)-N$4),4)</f>
        <v>0.18</v>
      </c>
      <c r="O45" s="135">
        <f ca="1">ROUND(((EOMONTH(O$4,0)-MAX(OFFSET('Alíquotas ICMS'!$E14,,MATCH(O14,'Alíquotas ICMS'!$E14:$L14,0)-2),O$4))*O14+(MAX(OFFSET('Alíquotas ICMS'!$E14,,MATCH(O14,'Alíquotas ICMS'!$E14:$L14,0)-2),O$4)-O$4)*N14)/(EOMONTH(O$4,0)-O$4),4)</f>
        <v>0.18</v>
      </c>
    </row>
    <row r="46" spans="2:15" x14ac:dyDescent="0.25">
      <c r="B46" s="142" t="str">
        <f t="shared" si="1"/>
        <v>MG</v>
      </c>
      <c r="C46" s="141"/>
      <c r="D46" s="140">
        <f ca="1">ROUND(((EOMONTH(D$4,0)-MAX(OFFSET('Alíquotas ICMS'!$E15,,MATCH(D15,'Alíquotas ICMS'!$E15:$L15,0)-2),D$4))*D15+(MAX(OFFSET('Alíquotas ICMS'!$E15,,MATCH(D15,'Alíquotas ICMS'!$E15:$L15,0)-2),D$4)-D$4)*C15)/(EOMONTH(D$4,0)-D$4),4)</f>
        <v>0.27</v>
      </c>
      <c r="E46" s="140">
        <f ca="1">ROUND(((EOMONTH(E$4,0)-MAX(OFFSET('Alíquotas ICMS'!$E15,,MATCH(E15,'Alíquotas ICMS'!$E15:$L15,0)-2),E$4))*E15+(MAX(OFFSET('Alíquotas ICMS'!$E15,,MATCH(E15,'Alíquotas ICMS'!$E15:$L15,0)-2),E$4)-E$4)*D15)/(EOMONTH(E$4,0)-E$4),4)</f>
        <v>0.27</v>
      </c>
      <c r="F46" s="140">
        <f ca="1">ROUND(((EOMONTH(F$4,0)-MAX(OFFSET('Alíquotas ICMS'!$E15,,MATCH(F15,'Alíquotas ICMS'!$E15:$L15,0)-2),F$4))*F15+(MAX(OFFSET('Alíquotas ICMS'!$E15,,MATCH(F15,'Alíquotas ICMS'!$E15:$L15,0)-2),F$4)-F$4)*E15)/(EOMONTH(F$4,0)-F$4),4)</f>
        <v>0.27</v>
      </c>
      <c r="G46" s="140">
        <f ca="1">ROUND(((EOMONTH(G$4,0)-MAX(OFFSET('Alíquotas ICMS'!$E15,,MATCH(G15,'Alíquotas ICMS'!$E15:$L15,0)-2),G$4))*G15+(MAX(OFFSET('Alíquotas ICMS'!$E15,,MATCH(G15,'Alíquotas ICMS'!$E15:$L15,0)-2),G$4)-G$4)*F15)/(EOMONTH(G$4,0)-G$4),4)</f>
        <v>0.27</v>
      </c>
      <c r="H46" s="140">
        <f ca="1">ROUND(((EOMONTH(H$4,0)-MAX(OFFSET('Alíquotas ICMS'!$E15,,MATCH(H15,'Alíquotas ICMS'!$E15:$L15,0)-2),H$4))*H15+(MAX(OFFSET('Alíquotas ICMS'!$E15,,MATCH(H15,'Alíquotas ICMS'!$E15:$L15,0)-2),H$4)-H$4)*G15)/(EOMONTH(H$4,0)-H$4),4)</f>
        <v>0.27</v>
      </c>
      <c r="I46" s="140">
        <f ca="1">ROUND(((EOMONTH(I$4,0)-MAX(OFFSET('Alíquotas ICMS'!$E15,,MATCH(I15,'Alíquotas ICMS'!$E15:$L15,0)-2),I$4))*I15+(MAX(OFFSET('Alíquotas ICMS'!$E15,,MATCH(I15,'Alíquotas ICMS'!$E15:$L15,0)-2),I$4)-I$4)*H15)/(EOMONTH(I$4,0)-I$4),4)</f>
        <v>0.24829999999999999</v>
      </c>
      <c r="J46" s="140">
        <f ca="1">ROUND(((EOMONTH(J$4,0)-MAX(OFFSET('Alíquotas ICMS'!$E15,,MATCH(J15,'Alíquotas ICMS'!$E15:$L15,0)-2),J$4))*J15+(MAX(OFFSET('Alíquotas ICMS'!$E15,,MATCH(J15,'Alíquotas ICMS'!$E15:$L15,0)-2),J$4)-J$4)*I15)/(EOMONTH(J$4,0)-J$4),4)</f>
        <v>0.18</v>
      </c>
      <c r="K46" s="140">
        <f ca="1">ROUND(((EOMONTH(K$4,0)-MAX(OFFSET('Alíquotas ICMS'!$E15,,MATCH(K15,'Alíquotas ICMS'!$E15:$L15,0)-2),K$4))*K15+(MAX(OFFSET('Alíquotas ICMS'!$E15,,MATCH(K15,'Alíquotas ICMS'!$E15:$L15,0)-2),K$4)-K$4)*J15)/(EOMONTH(K$4,0)-K$4),4)</f>
        <v>0.18</v>
      </c>
      <c r="L46" s="140">
        <f ca="1">ROUND(((EOMONTH(L$4,0)-MAX(OFFSET('Alíquotas ICMS'!$E15,,MATCH(L15,'Alíquotas ICMS'!$E15:$L15,0)-2),L$4))*L15+(MAX(OFFSET('Alíquotas ICMS'!$E15,,MATCH(L15,'Alíquotas ICMS'!$E15:$L15,0)-2),L$4)-L$4)*K15)/(EOMONTH(L$4,0)-L$4),4)</f>
        <v>0.18</v>
      </c>
      <c r="M46" s="140">
        <f ca="1">ROUND(((EOMONTH(M$4,0)-MAX(OFFSET('Alíquotas ICMS'!$E15,,MATCH(M15,'Alíquotas ICMS'!$E15:$L15,0)-2),M$4))*M15+(MAX(OFFSET('Alíquotas ICMS'!$E15,,MATCH(M15,'Alíquotas ICMS'!$E15:$L15,0)-2),M$4)-M$4)*L15)/(EOMONTH(M$4,0)-M$4),4)</f>
        <v>0.18</v>
      </c>
      <c r="N46" s="140">
        <f ca="1">ROUND(((EOMONTH(N$4,0)-MAX(OFFSET('Alíquotas ICMS'!$E15,,MATCH(N15,'Alíquotas ICMS'!$E15:$L15,0)-2),N$4))*N15+(MAX(OFFSET('Alíquotas ICMS'!$E15,,MATCH(N15,'Alíquotas ICMS'!$E15:$L15,0)-2),N$4)-N$4)*M15)/(EOMONTH(N$4,0)-N$4),4)</f>
        <v>0.18</v>
      </c>
      <c r="O46" s="139">
        <f ca="1">ROUND(((EOMONTH(O$4,0)-MAX(OFFSET('Alíquotas ICMS'!$E15,,MATCH(O15,'Alíquotas ICMS'!$E15:$L15,0)-2),O$4))*O15+(MAX(OFFSET('Alíquotas ICMS'!$E15,,MATCH(O15,'Alíquotas ICMS'!$E15:$L15,0)-2),O$4)-O$4)*N15)/(EOMONTH(O$4,0)-O$4),4)</f>
        <v>0.18</v>
      </c>
    </row>
    <row r="47" spans="2:15" x14ac:dyDescent="0.25">
      <c r="B47" s="138" t="str">
        <f t="shared" si="1"/>
        <v>MS</v>
      </c>
      <c r="C47" s="137"/>
      <c r="D47" s="136">
        <f ca="1">ROUND(((EOMONTH(D$4,0)-MAX(OFFSET('Alíquotas ICMS'!$E16,,MATCH(D16,'Alíquotas ICMS'!$E16:$L16,0)-2),D$4))*D16+(MAX(OFFSET('Alíquotas ICMS'!$E16,,MATCH(D16,'Alíquotas ICMS'!$E16:$L16,0)-2),D$4)-D$4)*C16)/(EOMONTH(D$4,0)-D$4),4)</f>
        <v>0.28999999999999998</v>
      </c>
      <c r="E47" s="136">
        <f ca="1">ROUND(((EOMONTH(E$4,0)-MAX(OFFSET('Alíquotas ICMS'!$E16,,MATCH(E16,'Alíquotas ICMS'!$E16:$L16,0)-2),E$4))*E16+(MAX(OFFSET('Alíquotas ICMS'!$E16,,MATCH(E16,'Alíquotas ICMS'!$E16:$L16,0)-2),E$4)-E$4)*D16)/(EOMONTH(E$4,0)-E$4),4)</f>
        <v>0.28999999999999998</v>
      </c>
      <c r="F47" s="136">
        <f ca="1">ROUND(((EOMONTH(F$4,0)-MAX(OFFSET('Alíquotas ICMS'!$E16,,MATCH(F16,'Alíquotas ICMS'!$E16:$L16,0)-2),F$4))*F16+(MAX(OFFSET('Alíquotas ICMS'!$E16,,MATCH(F16,'Alíquotas ICMS'!$E16:$L16,0)-2),F$4)-F$4)*E16)/(EOMONTH(F$4,0)-F$4),4)</f>
        <v>0.28999999999999998</v>
      </c>
      <c r="G47" s="136">
        <f ca="1">ROUND(((EOMONTH(G$4,0)-MAX(OFFSET('Alíquotas ICMS'!$E16,,MATCH(G16,'Alíquotas ICMS'!$E16:$L16,0)-2),G$4))*G16+(MAX(OFFSET('Alíquotas ICMS'!$E16,,MATCH(G16,'Alíquotas ICMS'!$E16:$L16,0)-2),G$4)-G$4)*F16)/(EOMONTH(G$4,0)-G$4),4)</f>
        <v>0.28999999999999998</v>
      </c>
      <c r="H47" s="136">
        <f ca="1">ROUND(((EOMONTH(H$4,0)-MAX(OFFSET('Alíquotas ICMS'!$E16,,MATCH(H16,'Alíquotas ICMS'!$E16:$L16,0)-2),H$4))*H16+(MAX(OFFSET('Alíquotas ICMS'!$E16,,MATCH(H16,'Alíquotas ICMS'!$E16:$L16,0)-2),H$4)-H$4)*G16)/(EOMONTH(H$4,0)-H$4),4)</f>
        <v>0.28999999999999998</v>
      </c>
      <c r="I47" s="136">
        <f ca="1">ROUND(((EOMONTH(I$4,0)-MAX(OFFSET('Alíquotas ICMS'!$E16,,MATCH(I16,'Alíquotas ICMS'!$E16:$L16,0)-2),I$4))*I16+(MAX(OFFSET('Alíquotas ICMS'!$E16,,MATCH(I16,'Alíquotas ICMS'!$E16:$L16,0)-2),I$4)-I$4)*H16)/(EOMONTH(I$4,0)-I$4),4)</f>
        <v>0.28999999999999998</v>
      </c>
      <c r="J47" s="136">
        <f ca="1">ROUND(((EOMONTH(J$4,0)-MAX(OFFSET('Alíquotas ICMS'!$E16,,MATCH(J16,'Alíquotas ICMS'!$E16:$L16,0)-2),J$4))*J16+(MAX(OFFSET('Alíquotas ICMS'!$E16,,MATCH(J16,'Alíquotas ICMS'!$E16:$L16,0)-2),J$4)-J$4)*I16)/(EOMONTH(J$4,0)-J$4),4)</f>
        <v>0.19</v>
      </c>
      <c r="K47" s="136">
        <f ca="1">ROUND(((EOMONTH(K$4,0)-MAX(OFFSET('Alíquotas ICMS'!$E16,,MATCH(K16,'Alíquotas ICMS'!$E16:$L16,0)-2),K$4))*K16+(MAX(OFFSET('Alíquotas ICMS'!$E16,,MATCH(K16,'Alíquotas ICMS'!$E16:$L16,0)-2),K$4)-K$4)*J16)/(EOMONTH(K$4,0)-K$4),4)</f>
        <v>0.19</v>
      </c>
      <c r="L47" s="136">
        <f ca="1">ROUND(((EOMONTH(L$4,0)-MAX(OFFSET('Alíquotas ICMS'!$E16,,MATCH(L16,'Alíquotas ICMS'!$E16:$L16,0)-2),L$4))*L16+(MAX(OFFSET('Alíquotas ICMS'!$E16,,MATCH(L16,'Alíquotas ICMS'!$E16:$L16,0)-2),L$4)-L$4)*K16)/(EOMONTH(L$4,0)-L$4),4)</f>
        <v>0.19</v>
      </c>
      <c r="M47" s="136">
        <f ca="1">ROUND(((EOMONTH(M$4,0)-MAX(OFFSET('Alíquotas ICMS'!$E16,,MATCH(M16,'Alíquotas ICMS'!$E16:$L16,0)-2),M$4))*M16+(MAX(OFFSET('Alíquotas ICMS'!$E16,,MATCH(M16,'Alíquotas ICMS'!$E16:$L16,0)-2),M$4)-M$4)*L16)/(EOMONTH(M$4,0)-M$4),4)</f>
        <v>0.19</v>
      </c>
      <c r="N47" s="136">
        <f ca="1">ROUND(((EOMONTH(N$4,0)-MAX(OFFSET('Alíquotas ICMS'!$E16,,MATCH(N16,'Alíquotas ICMS'!$E16:$L16,0)-2),N$4))*N16+(MAX(OFFSET('Alíquotas ICMS'!$E16,,MATCH(N16,'Alíquotas ICMS'!$E16:$L16,0)-2),N$4)-N$4)*M16)/(EOMONTH(N$4,0)-N$4),4)</f>
        <v>0.19</v>
      </c>
      <c r="O47" s="135">
        <f ca="1">ROUND(((EOMONTH(O$4,0)-MAX(OFFSET('Alíquotas ICMS'!$E16,,MATCH(O16,'Alíquotas ICMS'!$E16:$L16,0)-2),O$4))*O16+(MAX(OFFSET('Alíquotas ICMS'!$E16,,MATCH(O16,'Alíquotas ICMS'!$E16:$L16,0)-2),O$4)-O$4)*N16)/(EOMONTH(O$4,0)-O$4),4)</f>
        <v>0.19</v>
      </c>
    </row>
    <row r="48" spans="2:15" x14ac:dyDescent="0.25">
      <c r="B48" s="142" t="str">
        <f t="shared" si="1"/>
        <v>MT</v>
      </c>
      <c r="C48" s="141"/>
      <c r="D48" s="140">
        <f ca="1">ROUND(((EOMONTH(D$4,0)-MAX(OFFSET('Alíquotas ICMS'!$E17,,MATCH(D17,'Alíquotas ICMS'!$E17:$L17,0)-2),D$4))*D17+(MAX(OFFSET('Alíquotas ICMS'!$E17,,MATCH(D17,'Alíquotas ICMS'!$E17:$L17,0)-2),D$4)-D$4)*C17)/(EOMONTH(D$4,0)-D$4),4)</f>
        <v>0.19</v>
      </c>
      <c r="E48" s="140">
        <f ca="1">ROUND(((EOMONTH(E$4,0)-MAX(OFFSET('Alíquotas ICMS'!$E17,,MATCH(E17,'Alíquotas ICMS'!$E17:$L17,0)-2),E$4))*E17+(MAX(OFFSET('Alíquotas ICMS'!$E17,,MATCH(E17,'Alíquotas ICMS'!$E17:$L17,0)-2),E$4)-E$4)*D17)/(EOMONTH(E$4,0)-E$4),4)</f>
        <v>0.19</v>
      </c>
      <c r="F48" s="140">
        <f ca="1">ROUND(((EOMONTH(F$4,0)-MAX(OFFSET('Alíquotas ICMS'!$E17,,MATCH(F17,'Alíquotas ICMS'!$E17:$L17,0)-2),F$4))*F17+(MAX(OFFSET('Alíquotas ICMS'!$E17,,MATCH(F17,'Alíquotas ICMS'!$E17:$L17,0)-2),F$4)-F$4)*E17)/(EOMONTH(F$4,0)-F$4),4)</f>
        <v>0.19</v>
      </c>
      <c r="G48" s="140">
        <f ca="1">ROUND(((EOMONTH(G$4,0)-MAX(OFFSET('Alíquotas ICMS'!$E17,,MATCH(G17,'Alíquotas ICMS'!$E17:$L17,0)-2),G$4))*G17+(MAX(OFFSET('Alíquotas ICMS'!$E17,,MATCH(G17,'Alíquotas ICMS'!$E17:$L17,0)-2),G$4)-G$4)*F17)/(EOMONTH(G$4,0)-G$4),4)</f>
        <v>0.19</v>
      </c>
      <c r="H48" s="140">
        <f ca="1">ROUND(((EOMONTH(H$4,0)-MAX(OFFSET('Alíquotas ICMS'!$E17,,MATCH(H17,'Alíquotas ICMS'!$E17:$L17,0)-2),H$4))*H17+(MAX(OFFSET('Alíquotas ICMS'!$E17,,MATCH(H17,'Alíquotas ICMS'!$E17:$L17,0)-2),H$4)-H$4)*G17)/(EOMONTH(H$4,0)-H$4),4)</f>
        <v>0.19</v>
      </c>
      <c r="I48" s="140">
        <f ca="1">ROUND(((EOMONTH(I$4,0)-MAX(OFFSET('Alíquotas ICMS'!$E17,,MATCH(I17,'Alíquotas ICMS'!$E17:$L17,0)-2),I$4))*I17+(MAX(OFFSET('Alíquotas ICMS'!$E17,,MATCH(I17,'Alíquotas ICMS'!$E17:$L17,0)-2),I$4)-I$4)*H17)/(EOMONTH(I$4,0)-I$4),4)</f>
        <v>0.19</v>
      </c>
      <c r="J48" s="140">
        <f ca="1">ROUND(((EOMONTH(J$4,0)-MAX(OFFSET('Alíquotas ICMS'!$E17,,MATCH(J17,'Alíquotas ICMS'!$E17:$L17,0)-2),J$4))*J17+(MAX(OFFSET('Alíquotas ICMS'!$E17,,MATCH(J17,'Alíquotas ICMS'!$E17:$L17,0)-2),J$4)-J$4)*I17)/(EOMONTH(J$4,0)-J$4),4)</f>
        <v>0.19</v>
      </c>
      <c r="K48" s="140">
        <f ca="1">ROUND(((EOMONTH(K$4,0)-MAX(OFFSET('Alíquotas ICMS'!$E17,,MATCH(K17,'Alíquotas ICMS'!$E17:$L17,0)-2),K$4))*K17+(MAX(OFFSET('Alíquotas ICMS'!$E17,,MATCH(K17,'Alíquotas ICMS'!$E17:$L17,0)-2),K$4)-K$4)*J17)/(EOMONTH(K$4,0)-K$4),4)</f>
        <v>0.19</v>
      </c>
      <c r="L48" s="140">
        <f ca="1">ROUND(((EOMONTH(L$4,0)-MAX(OFFSET('Alíquotas ICMS'!$E17,,MATCH(L17,'Alíquotas ICMS'!$E17:$L17,0)-2),L$4))*L17+(MAX(OFFSET('Alíquotas ICMS'!$E17,,MATCH(L17,'Alíquotas ICMS'!$E17:$L17,0)-2),L$4)-L$4)*K17)/(EOMONTH(L$4,0)-L$4),4)</f>
        <v>0.19</v>
      </c>
      <c r="M48" s="140">
        <f ca="1">ROUND(((EOMONTH(M$4,0)-MAX(OFFSET('Alíquotas ICMS'!$E17,,MATCH(M17,'Alíquotas ICMS'!$E17:$L17,0)-2),M$4))*M17+(MAX(OFFSET('Alíquotas ICMS'!$E17,,MATCH(M17,'Alíquotas ICMS'!$E17:$L17,0)-2),M$4)-M$4)*L17)/(EOMONTH(M$4,0)-M$4),4)</f>
        <v>0.19</v>
      </c>
      <c r="N48" s="140">
        <f ca="1">ROUND(((EOMONTH(N$4,0)-MAX(OFFSET('Alíquotas ICMS'!$E17,,MATCH(N17,'Alíquotas ICMS'!$E17:$L17,0)-2),N$4))*N17+(MAX(OFFSET('Alíquotas ICMS'!$E17,,MATCH(N17,'Alíquotas ICMS'!$E17:$L17,0)-2),N$4)-N$4)*M17)/(EOMONTH(N$4,0)-N$4),4)</f>
        <v>0.19</v>
      </c>
      <c r="O48" s="139">
        <f ca="1">ROUND(((EOMONTH(O$4,0)-MAX(OFFSET('Alíquotas ICMS'!$E17,,MATCH(O17,'Alíquotas ICMS'!$E17:$L17,0)-2),O$4))*O17+(MAX(OFFSET('Alíquotas ICMS'!$E17,,MATCH(O17,'Alíquotas ICMS'!$E17:$L17,0)-2),O$4)-O$4)*N17)/(EOMONTH(O$4,0)-O$4),4)</f>
        <v>0.19</v>
      </c>
    </row>
    <row r="49" spans="2:15" x14ac:dyDescent="0.25">
      <c r="B49" s="138" t="str">
        <f t="shared" si="1"/>
        <v>PA</v>
      </c>
      <c r="C49" s="137"/>
      <c r="D49" s="136">
        <f ca="1">ROUND(((EOMONTH(D$4,0)-MAX(OFFSET('Alíquotas ICMS'!$E18,,MATCH(D18,'Alíquotas ICMS'!$E18:$L18,0)-2),D$4))*D18+(MAX(OFFSET('Alíquotas ICMS'!$E18,,MATCH(D18,'Alíquotas ICMS'!$E18:$L18,0)-2),D$4)-D$4)*C18)/(EOMONTH(D$4,0)-D$4),4)</f>
        <v>0.3</v>
      </c>
      <c r="E49" s="136">
        <f ca="1">ROUND(((EOMONTH(E$4,0)-MAX(OFFSET('Alíquotas ICMS'!$E18,,MATCH(E18,'Alíquotas ICMS'!$E18:$L18,0)-2),E$4))*E18+(MAX(OFFSET('Alíquotas ICMS'!$E18,,MATCH(E18,'Alíquotas ICMS'!$E18:$L18,0)-2),E$4)-E$4)*D18)/(EOMONTH(E$4,0)-E$4),4)</f>
        <v>0.3</v>
      </c>
      <c r="F49" s="136">
        <f ca="1">ROUND(((EOMONTH(F$4,0)-MAX(OFFSET('Alíquotas ICMS'!$E18,,MATCH(F18,'Alíquotas ICMS'!$E18:$L18,0)-2),F$4))*F18+(MAX(OFFSET('Alíquotas ICMS'!$E18,,MATCH(F18,'Alíquotas ICMS'!$E18:$L18,0)-2),F$4)-F$4)*E18)/(EOMONTH(F$4,0)-F$4),4)</f>
        <v>0.3</v>
      </c>
      <c r="G49" s="136">
        <f ca="1">ROUND(((EOMONTH(G$4,0)-MAX(OFFSET('Alíquotas ICMS'!$E18,,MATCH(G18,'Alíquotas ICMS'!$E18:$L18,0)-2),G$4))*G18+(MAX(OFFSET('Alíquotas ICMS'!$E18,,MATCH(G18,'Alíquotas ICMS'!$E18:$L18,0)-2),G$4)-G$4)*F18)/(EOMONTH(G$4,0)-G$4),4)</f>
        <v>0.3</v>
      </c>
      <c r="H49" s="136">
        <f ca="1">ROUND(((EOMONTH(H$4,0)-MAX(OFFSET('Alíquotas ICMS'!$E18,,MATCH(H18,'Alíquotas ICMS'!$E18:$L18,0)-2),H$4))*H18+(MAX(OFFSET('Alíquotas ICMS'!$E18,,MATCH(H18,'Alíquotas ICMS'!$E18:$L18,0)-2),H$4)-H$4)*G18)/(EOMONTH(H$4,0)-H$4),4)</f>
        <v>0.3</v>
      </c>
      <c r="I49" s="136">
        <f ca="1">ROUND(((EOMONTH(I$4,0)-MAX(OFFSET('Alíquotas ICMS'!$E18,,MATCH(I18,'Alíquotas ICMS'!$E18:$L18,0)-2),I$4))*I18+(MAX(OFFSET('Alíquotas ICMS'!$E18,,MATCH(I18,'Alíquotas ICMS'!$E18:$L18,0)-2),I$4)-I$4)*H18)/(EOMONTH(I$4,0)-I$4),4)</f>
        <v>0.3</v>
      </c>
      <c r="J49" s="136">
        <f ca="1">ROUND(((EOMONTH(J$4,0)-MAX(OFFSET('Alíquotas ICMS'!$E18,,MATCH(J18,'Alíquotas ICMS'!$E18:$L18,0)-2),J$4))*J18+(MAX(OFFSET('Alíquotas ICMS'!$E18,,MATCH(J18,'Alíquotas ICMS'!$E18:$L18,0)-2),J$4)-J$4)*I18)/(EOMONTH(J$4,0)-J$4),4)</f>
        <v>0.183</v>
      </c>
      <c r="K49" s="136">
        <f ca="1">ROUND(((EOMONTH(K$4,0)-MAX(OFFSET('Alíquotas ICMS'!$E18,,MATCH(K18,'Alíquotas ICMS'!$E18:$L18,0)-2),K$4))*K18+(MAX(OFFSET('Alíquotas ICMS'!$E18,,MATCH(K18,'Alíquotas ICMS'!$E18:$L18,0)-2),K$4)-K$4)*J18)/(EOMONTH(K$4,0)-K$4),4)</f>
        <v>0.17</v>
      </c>
      <c r="L49" s="136">
        <f ca="1">ROUND(((EOMONTH(L$4,0)-MAX(OFFSET('Alíquotas ICMS'!$E18,,MATCH(L18,'Alíquotas ICMS'!$E18:$L18,0)-2),L$4))*L18+(MAX(OFFSET('Alíquotas ICMS'!$E18,,MATCH(L18,'Alíquotas ICMS'!$E18:$L18,0)-2),L$4)-L$4)*K18)/(EOMONTH(L$4,0)-L$4),4)</f>
        <v>0.17</v>
      </c>
      <c r="M49" s="136">
        <f ca="1">ROUND(((EOMONTH(M$4,0)-MAX(OFFSET('Alíquotas ICMS'!$E18,,MATCH(M18,'Alíquotas ICMS'!$E18:$L18,0)-2),M$4))*M18+(MAX(OFFSET('Alíquotas ICMS'!$E18,,MATCH(M18,'Alíquotas ICMS'!$E18:$L18,0)-2),M$4)-M$4)*L18)/(EOMONTH(M$4,0)-M$4),4)</f>
        <v>0.17</v>
      </c>
      <c r="N49" s="136">
        <f ca="1">ROUND(((EOMONTH(N$4,0)-MAX(OFFSET('Alíquotas ICMS'!$E18,,MATCH(N18,'Alíquotas ICMS'!$E18:$L18,0)-2),N$4))*N18+(MAX(OFFSET('Alíquotas ICMS'!$E18,,MATCH(N18,'Alíquotas ICMS'!$E18:$L18,0)-2),N$4)-N$4)*M18)/(EOMONTH(N$4,0)-N$4),4)</f>
        <v>0.17</v>
      </c>
      <c r="O49" s="135">
        <f ca="1">ROUND(((EOMONTH(O$4,0)-MAX(OFFSET('Alíquotas ICMS'!$E18,,MATCH(O18,'Alíquotas ICMS'!$E18:$L18,0)-2),O$4))*O18+(MAX(OFFSET('Alíquotas ICMS'!$E18,,MATCH(O18,'Alíquotas ICMS'!$E18:$L18,0)-2),O$4)-O$4)*N18)/(EOMONTH(O$4,0)-O$4),4)</f>
        <v>0.17</v>
      </c>
    </row>
    <row r="50" spans="2:15" x14ac:dyDescent="0.25">
      <c r="B50" s="142" t="str">
        <f t="shared" si="1"/>
        <v>PB</v>
      </c>
      <c r="C50" s="141"/>
      <c r="D50" s="140">
        <f ca="1">ROUND(((EOMONTH(D$4,0)-MAX(OFFSET('Alíquotas ICMS'!$E19,,MATCH(D19,'Alíquotas ICMS'!$E19:$L19,0)-2),D$4))*D19+(MAX(OFFSET('Alíquotas ICMS'!$E19,,MATCH(D19,'Alíquotas ICMS'!$E19:$L19,0)-2),D$4)-D$4)*C19)/(EOMONTH(D$4,0)-D$4),4)</f>
        <v>0.3</v>
      </c>
      <c r="E50" s="140">
        <f ca="1">ROUND(((EOMONTH(E$4,0)-MAX(OFFSET('Alíquotas ICMS'!$E19,,MATCH(E19,'Alíquotas ICMS'!$E19:$L19,0)-2),E$4))*E19+(MAX(OFFSET('Alíquotas ICMS'!$E19,,MATCH(E19,'Alíquotas ICMS'!$E19:$L19,0)-2),E$4)-E$4)*D19)/(EOMONTH(E$4,0)-E$4),4)</f>
        <v>0.3</v>
      </c>
      <c r="F50" s="140">
        <f ca="1">ROUND(((EOMONTH(F$4,0)-MAX(OFFSET('Alíquotas ICMS'!$E19,,MATCH(F19,'Alíquotas ICMS'!$E19:$L19,0)-2),F$4))*F19+(MAX(OFFSET('Alíquotas ICMS'!$E19,,MATCH(F19,'Alíquotas ICMS'!$E19:$L19,0)-2),F$4)-F$4)*E19)/(EOMONTH(F$4,0)-F$4),4)</f>
        <v>0.3</v>
      </c>
      <c r="G50" s="140">
        <f ca="1">ROUND(((EOMONTH(G$4,0)-MAX(OFFSET('Alíquotas ICMS'!$E19,,MATCH(G19,'Alíquotas ICMS'!$E19:$L19,0)-2),G$4))*G19+(MAX(OFFSET('Alíquotas ICMS'!$E19,,MATCH(G19,'Alíquotas ICMS'!$E19:$L19,0)-2),G$4)-G$4)*F19)/(EOMONTH(G$4,0)-G$4),4)</f>
        <v>0.3</v>
      </c>
      <c r="H50" s="140">
        <f ca="1">ROUND(((EOMONTH(H$4,0)-MAX(OFFSET('Alíquotas ICMS'!$E19,,MATCH(H19,'Alíquotas ICMS'!$E19:$L19,0)-2),H$4))*H19+(MAX(OFFSET('Alíquotas ICMS'!$E19,,MATCH(H19,'Alíquotas ICMS'!$E19:$L19,0)-2),H$4)-H$4)*G19)/(EOMONTH(H$4,0)-H$4),4)</f>
        <v>0.3</v>
      </c>
      <c r="I50" s="140">
        <f ca="1">ROUND(((EOMONTH(I$4,0)-MAX(OFFSET('Alíquotas ICMS'!$E19,,MATCH(I19,'Alíquotas ICMS'!$E19:$L19,0)-2),I$4))*I19+(MAX(OFFSET('Alíquotas ICMS'!$E19,,MATCH(I19,'Alíquotas ICMS'!$E19:$L19,0)-2),I$4)-I$4)*H19)/(EOMONTH(I$4,0)-I$4),4)</f>
        <v>0.27589999999999998</v>
      </c>
      <c r="J50" s="140">
        <f ca="1">ROUND(((EOMONTH(J$4,0)-MAX(OFFSET('Alíquotas ICMS'!$E19,,MATCH(J19,'Alíquotas ICMS'!$E19:$L19,0)-2),J$4))*J19+(MAX(OFFSET('Alíquotas ICMS'!$E19,,MATCH(J19,'Alíquotas ICMS'!$E19:$L19,0)-2),J$4)-J$4)*I19)/(EOMONTH(J$4,0)-J$4),4)</f>
        <v>0.2</v>
      </c>
      <c r="K50" s="140">
        <f ca="1">ROUND(((EOMONTH(K$4,0)-MAX(OFFSET('Alíquotas ICMS'!$E19,,MATCH(K19,'Alíquotas ICMS'!$E19:$L19,0)-2),K$4))*K19+(MAX(OFFSET('Alíquotas ICMS'!$E19,,MATCH(K19,'Alíquotas ICMS'!$E19:$L19,0)-2),K$4)-K$4)*J19)/(EOMONTH(K$4,0)-K$4),4)</f>
        <v>0.2</v>
      </c>
      <c r="L50" s="140">
        <f ca="1">ROUND(((EOMONTH(L$4,0)-MAX(OFFSET('Alíquotas ICMS'!$E19,,MATCH(L19,'Alíquotas ICMS'!$E19:$L19,0)-2),L$4))*L19+(MAX(OFFSET('Alíquotas ICMS'!$E19,,MATCH(L19,'Alíquotas ICMS'!$E19:$L19,0)-2),L$4)-L$4)*K19)/(EOMONTH(L$4,0)-L$4),4)</f>
        <v>0.2</v>
      </c>
      <c r="M50" s="140">
        <f ca="1">ROUND(((EOMONTH(M$4,0)-MAX(OFFSET('Alíquotas ICMS'!$E19,,MATCH(M19,'Alíquotas ICMS'!$E19:$L19,0)-2),M$4))*M19+(MAX(OFFSET('Alíquotas ICMS'!$E19,,MATCH(M19,'Alíquotas ICMS'!$E19:$L19,0)-2),M$4)-M$4)*L19)/(EOMONTH(M$4,0)-M$4),4)</f>
        <v>0.2</v>
      </c>
      <c r="N50" s="140">
        <f ca="1">ROUND(((EOMONTH(N$4,0)-MAX(OFFSET('Alíquotas ICMS'!$E19,,MATCH(N19,'Alíquotas ICMS'!$E19:$L19,0)-2),N$4))*N19+(MAX(OFFSET('Alíquotas ICMS'!$E19,,MATCH(N19,'Alíquotas ICMS'!$E19:$L19,0)-2),N$4)-N$4)*M19)/(EOMONTH(N$4,0)-N$4),4)</f>
        <v>0.2</v>
      </c>
      <c r="O50" s="139">
        <f ca="1">ROUND(((EOMONTH(O$4,0)-MAX(OFFSET('Alíquotas ICMS'!$E19,,MATCH(O19,'Alíquotas ICMS'!$E19:$L19,0)-2),O$4))*O19+(MAX(OFFSET('Alíquotas ICMS'!$E19,,MATCH(O19,'Alíquotas ICMS'!$E19:$L19,0)-2),O$4)-O$4)*N19)/(EOMONTH(O$4,0)-O$4),4)</f>
        <v>0.2</v>
      </c>
    </row>
    <row r="51" spans="2:15" x14ac:dyDescent="0.25">
      <c r="B51" s="138" t="str">
        <f t="shared" si="1"/>
        <v>PE</v>
      </c>
      <c r="C51" s="137"/>
      <c r="D51" s="136">
        <f ca="1">ROUND(((EOMONTH(D$4,0)-MAX(OFFSET('Alíquotas ICMS'!$E20,,MATCH(D20,'Alíquotas ICMS'!$E20:$L20,0)-2),D$4))*D20+(MAX(OFFSET('Alíquotas ICMS'!$E20,,MATCH(D20,'Alíquotas ICMS'!$E20:$L20,0)-2),D$4)-D$4)*C20)/(EOMONTH(D$4,0)-D$4),4)</f>
        <v>0.3</v>
      </c>
      <c r="E51" s="136">
        <f ca="1">ROUND(((EOMONTH(E$4,0)-MAX(OFFSET('Alíquotas ICMS'!$E20,,MATCH(E20,'Alíquotas ICMS'!$E20:$L20,0)-2),E$4))*E20+(MAX(OFFSET('Alíquotas ICMS'!$E20,,MATCH(E20,'Alíquotas ICMS'!$E20:$L20,0)-2),E$4)-E$4)*D20)/(EOMONTH(E$4,0)-E$4),4)</f>
        <v>0.3</v>
      </c>
      <c r="F51" s="136">
        <f ca="1">ROUND(((EOMONTH(F$4,0)-MAX(OFFSET('Alíquotas ICMS'!$E20,,MATCH(F20,'Alíquotas ICMS'!$E20:$L20,0)-2),F$4))*F20+(MAX(OFFSET('Alíquotas ICMS'!$E20,,MATCH(F20,'Alíquotas ICMS'!$E20:$L20,0)-2),F$4)-F$4)*E20)/(EOMONTH(F$4,0)-F$4),4)</f>
        <v>0.3</v>
      </c>
      <c r="G51" s="136">
        <f ca="1">ROUND(((EOMONTH(G$4,0)-MAX(OFFSET('Alíquotas ICMS'!$E20,,MATCH(G20,'Alíquotas ICMS'!$E20:$L20,0)-2),G$4))*G20+(MAX(OFFSET('Alíquotas ICMS'!$E20,,MATCH(G20,'Alíquotas ICMS'!$E20:$L20,0)-2),G$4)-G$4)*F20)/(EOMONTH(G$4,0)-G$4),4)</f>
        <v>0.3</v>
      </c>
      <c r="H51" s="136">
        <f ca="1">ROUND(((EOMONTH(H$4,0)-MAX(OFFSET('Alíquotas ICMS'!$E20,,MATCH(H20,'Alíquotas ICMS'!$E20:$L20,0)-2),H$4))*H20+(MAX(OFFSET('Alíquotas ICMS'!$E20,,MATCH(H20,'Alíquotas ICMS'!$E20:$L20,0)-2),H$4)-H$4)*G20)/(EOMONTH(H$4,0)-H$4),4)</f>
        <v>0.3</v>
      </c>
      <c r="I51" s="136">
        <f ca="1">ROUND(((EOMONTH(I$4,0)-MAX(OFFSET('Alíquotas ICMS'!$E20,,MATCH(I20,'Alíquotas ICMS'!$E20:$L20,0)-2),I$4))*I20+(MAX(OFFSET('Alíquotas ICMS'!$E20,,MATCH(I20,'Alíquotas ICMS'!$E20:$L20,0)-2),I$4)-I$4)*H20)/(EOMONTH(I$4,0)-I$4),4)</f>
        <v>0.3</v>
      </c>
      <c r="J51" s="136">
        <f ca="1">ROUND(((EOMONTH(J$4,0)-MAX(OFFSET('Alíquotas ICMS'!$E20,,MATCH(J20,'Alíquotas ICMS'!$E20:$L20,0)-2),J$4))*J20+(MAX(OFFSET('Alíquotas ICMS'!$E20,,MATCH(J20,'Alíquotas ICMS'!$E20:$L20,0)-2),J$4)-J$4)*I20)/(EOMONTH(J$4,0)-J$4),4)</f>
        <v>0.23599999999999999</v>
      </c>
      <c r="K51" s="136">
        <f ca="1">ROUND(((EOMONTH(K$4,0)-MAX(OFFSET('Alíquotas ICMS'!$E20,,MATCH(K20,'Alíquotas ICMS'!$E20:$L20,0)-2),K$4))*K20+(MAX(OFFSET('Alíquotas ICMS'!$E20,,MATCH(K20,'Alíquotas ICMS'!$E20:$L20,0)-2),K$4)-K$4)*J20)/(EOMONTH(K$4,0)-K$4),4)</f>
        <v>0.18</v>
      </c>
      <c r="L51" s="136">
        <f ca="1">ROUND(((EOMONTH(L$4,0)-MAX(OFFSET('Alíquotas ICMS'!$E20,,MATCH(L20,'Alíquotas ICMS'!$E20:$L20,0)-2),L$4))*L20+(MAX(OFFSET('Alíquotas ICMS'!$E20,,MATCH(L20,'Alíquotas ICMS'!$E20:$L20,0)-2),L$4)-L$4)*K20)/(EOMONTH(L$4,0)-L$4),4)</f>
        <v>0.18</v>
      </c>
      <c r="M51" s="136">
        <f ca="1">ROUND(((EOMONTH(M$4,0)-MAX(OFFSET('Alíquotas ICMS'!$E20,,MATCH(M20,'Alíquotas ICMS'!$E20:$L20,0)-2),M$4))*M20+(MAX(OFFSET('Alíquotas ICMS'!$E20,,MATCH(M20,'Alíquotas ICMS'!$E20:$L20,0)-2),M$4)-M$4)*L20)/(EOMONTH(M$4,0)-M$4),4)</f>
        <v>0.18</v>
      </c>
      <c r="N51" s="136">
        <f ca="1">ROUND(((EOMONTH(N$4,0)-MAX(OFFSET('Alíquotas ICMS'!$E20,,MATCH(N20,'Alíquotas ICMS'!$E20:$L20,0)-2),N$4))*N20+(MAX(OFFSET('Alíquotas ICMS'!$E20,,MATCH(N20,'Alíquotas ICMS'!$E20:$L20,0)-2),N$4)-N$4)*M20)/(EOMONTH(N$4,0)-N$4),4)</f>
        <v>0.18</v>
      </c>
      <c r="O51" s="135">
        <f ca="1">ROUND(((EOMONTH(O$4,0)-MAX(OFFSET('Alíquotas ICMS'!$E20,,MATCH(O20,'Alíquotas ICMS'!$E20:$L20,0)-2),O$4))*O20+(MAX(OFFSET('Alíquotas ICMS'!$E20,,MATCH(O20,'Alíquotas ICMS'!$E20:$L20,0)-2),O$4)-O$4)*N20)/(EOMONTH(O$4,0)-O$4),4)</f>
        <v>0.18</v>
      </c>
    </row>
    <row r="52" spans="2:15" x14ac:dyDescent="0.25">
      <c r="B52" s="142" t="str">
        <f t="shared" si="1"/>
        <v>PI</v>
      </c>
      <c r="C52" s="141"/>
      <c r="D52" s="140">
        <f ca="1">ROUND(((EOMONTH(D$4,0)-MAX(OFFSET('Alíquotas ICMS'!$E21,,MATCH(D21,'Alíquotas ICMS'!$E21:$L21,0)-2),D$4))*D21+(MAX(OFFSET('Alíquotas ICMS'!$E21,,MATCH(D21,'Alíquotas ICMS'!$E21:$L21,0)-2),D$4)-D$4)*C21)/(EOMONTH(D$4,0)-D$4),4)</f>
        <v>0.3</v>
      </c>
      <c r="E52" s="140">
        <f ca="1">ROUND(((EOMONTH(E$4,0)-MAX(OFFSET('Alíquotas ICMS'!$E21,,MATCH(E21,'Alíquotas ICMS'!$E21:$L21,0)-2),E$4))*E21+(MAX(OFFSET('Alíquotas ICMS'!$E21,,MATCH(E21,'Alíquotas ICMS'!$E21:$L21,0)-2),E$4)-E$4)*D21)/(EOMONTH(E$4,0)-E$4),4)</f>
        <v>0.3</v>
      </c>
      <c r="F52" s="140">
        <f ca="1">ROUND(((EOMONTH(F$4,0)-MAX(OFFSET('Alíquotas ICMS'!$E21,,MATCH(F21,'Alíquotas ICMS'!$E21:$L21,0)-2),F$4))*F21+(MAX(OFFSET('Alíquotas ICMS'!$E21,,MATCH(F21,'Alíquotas ICMS'!$E21:$L21,0)-2),F$4)-F$4)*E21)/(EOMONTH(F$4,0)-F$4),4)</f>
        <v>0.3</v>
      </c>
      <c r="G52" s="140">
        <f ca="1">ROUND(((EOMONTH(G$4,0)-MAX(OFFSET('Alíquotas ICMS'!$E21,,MATCH(G21,'Alíquotas ICMS'!$E21:$L21,0)-2),G$4))*G21+(MAX(OFFSET('Alíquotas ICMS'!$E21,,MATCH(G21,'Alíquotas ICMS'!$E21:$L21,0)-2),G$4)-G$4)*F21)/(EOMONTH(G$4,0)-G$4),4)</f>
        <v>0.3</v>
      </c>
      <c r="H52" s="140">
        <f ca="1">ROUND(((EOMONTH(H$4,0)-MAX(OFFSET('Alíquotas ICMS'!$E21,,MATCH(H21,'Alíquotas ICMS'!$E21:$L21,0)-2),H$4))*H21+(MAX(OFFSET('Alíquotas ICMS'!$E21,,MATCH(H21,'Alíquotas ICMS'!$E21:$L21,0)-2),H$4)-H$4)*G21)/(EOMONTH(H$4,0)-H$4),4)</f>
        <v>0.3</v>
      </c>
      <c r="I52" s="140">
        <f ca="1">ROUND(((EOMONTH(I$4,0)-MAX(OFFSET('Alíquotas ICMS'!$E21,,MATCH(I21,'Alíquotas ICMS'!$E21:$L21,0)-2),I$4))*I21+(MAX(OFFSET('Alíquotas ICMS'!$E21,,MATCH(I21,'Alíquotas ICMS'!$E21:$L21,0)-2),I$4)-I$4)*H21)/(EOMONTH(I$4,0)-I$4),4)</f>
        <v>0.3</v>
      </c>
      <c r="J52" s="140">
        <f ca="1">ROUND(((EOMONTH(J$4,0)-MAX(OFFSET('Alíquotas ICMS'!$E21,,MATCH(J21,'Alíquotas ICMS'!$E21:$L21,0)-2),J$4))*J21+(MAX(OFFSET('Alíquotas ICMS'!$E21,,MATCH(J21,'Alíquotas ICMS'!$E21:$L21,0)-2),J$4)-J$4)*I21)/(EOMONTH(J$4,0)-J$4),4)</f>
        <v>0.224</v>
      </c>
      <c r="K52" s="140">
        <f ca="1">ROUND(((EOMONTH(K$4,0)-MAX(OFFSET('Alíquotas ICMS'!$E21,,MATCH(K21,'Alíquotas ICMS'!$E21:$L21,0)-2),K$4))*K21+(MAX(OFFSET('Alíquotas ICMS'!$E21,,MATCH(K21,'Alíquotas ICMS'!$E21:$L21,0)-2),K$4)-K$4)*J21)/(EOMONTH(K$4,0)-K$4),4)</f>
        <v>0.18</v>
      </c>
      <c r="L52" s="140">
        <f ca="1">ROUND(((EOMONTH(L$4,0)-MAX(OFFSET('Alíquotas ICMS'!$E21,,MATCH(L21,'Alíquotas ICMS'!$E21:$L21,0)-2),L$4))*L21+(MAX(OFFSET('Alíquotas ICMS'!$E21,,MATCH(L21,'Alíquotas ICMS'!$E21:$L21,0)-2),L$4)-L$4)*K21)/(EOMONTH(L$4,0)-L$4),4)</f>
        <v>0.18</v>
      </c>
      <c r="M52" s="140">
        <f ca="1">ROUND(((EOMONTH(M$4,0)-MAX(OFFSET('Alíquotas ICMS'!$E21,,MATCH(M21,'Alíquotas ICMS'!$E21:$L21,0)-2),M$4))*M21+(MAX(OFFSET('Alíquotas ICMS'!$E21,,MATCH(M21,'Alíquotas ICMS'!$E21:$L21,0)-2),M$4)-M$4)*L21)/(EOMONTH(M$4,0)-M$4),4)</f>
        <v>0.18</v>
      </c>
      <c r="N52" s="140">
        <f ca="1">ROUND(((EOMONTH(N$4,0)-MAX(OFFSET('Alíquotas ICMS'!$E21,,MATCH(N21,'Alíquotas ICMS'!$E21:$L21,0)-2),N$4))*N21+(MAX(OFFSET('Alíquotas ICMS'!$E21,,MATCH(N21,'Alíquotas ICMS'!$E21:$L21,0)-2),N$4)-N$4)*M21)/(EOMONTH(N$4,0)-N$4),4)</f>
        <v>0.18</v>
      </c>
      <c r="O52" s="139">
        <f ca="1">ROUND(((EOMONTH(O$4,0)-MAX(OFFSET('Alíquotas ICMS'!$E21,,MATCH(O21,'Alíquotas ICMS'!$E21:$L21,0)-2),O$4))*O21+(MAX(OFFSET('Alíquotas ICMS'!$E21,,MATCH(O21,'Alíquotas ICMS'!$E21:$L21,0)-2),O$4)-O$4)*N21)/(EOMONTH(O$4,0)-O$4),4)</f>
        <v>0.18</v>
      </c>
    </row>
    <row r="53" spans="2:15" x14ac:dyDescent="0.25">
      <c r="B53" s="138" t="str">
        <f t="shared" si="1"/>
        <v>PR</v>
      </c>
      <c r="C53" s="137"/>
      <c r="D53" s="136">
        <f ca="1">ROUND(((EOMONTH(D$4,0)-MAX(OFFSET('Alíquotas ICMS'!$E22,,MATCH(D22,'Alíquotas ICMS'!$E22:$L22,0)-2),D$4))*D22+(MAX(OFFSET('Alíquotas ICMS'!$E22,,MATCH(D22,'Alíquotas ICMS'!$E22:$L22,0)-2),D$4)-D$4)*C22)/(EOMONTH(D$4,0)-D$4),4)</f>
        <v>0.28999999999999998</v>
      </c>
      <c r="E53" s="136">
        <f ca="1">ROUND(((EOMONTH(E$4,0)-MAX(OFFSET('Alíquotas ICMS'!$E22,,MATCH(E22,'Alíquotas ICMS'!$E22:$L22,0)-2),E$4))*E22+(MAX(OFFSET('Alíquotas ICMS'!$E22,,MATCH(E22,'Alíquotas ICMS'!$E22:$L22,0)-2),E$4)-E$4)*D22)/(EOMONTH(E$4,0)-E$4),4)</f>
        <v>0.28999999999999998</v>
      </c>
      <c r="F53" s="136">
        <f ca="1">ROUND(((EOMONTH(F$4,0)-MAX(OFFSET('Alíquotas ICMS'!$E22,,MATCH(F22,'Alíquotas ICMS'!$E22:$L22,0)-2),F$4))*F22+(MAX(OFFSET('Alíquotas ICMS'!$E22,,MATCH(F22,'Alíquotas ICMS'!$E22:$L22,0)-2),F$4)-F$4)*E22)/(EOMONTH(F$4,0)-F$4),4)</f>
        <v>0.28999999999999998</v>
      </c>
      <c r="G53" s="136">
        <f ca="1">ROUND(((EOMONTH(G$4,0)-MAX(OFFSET('Alíquotas ICMS'!$E22,,MATCH(G22,'Alíquotas ICMS'!$E22:$L22,0)-2),G$4))*G22+(MAX(OFFSET('Alíquotas ICMS'!$E22,,MATCH(G22,'Alíquotas ICMS'!$E22:$L22,0)-2),G$4)-G$4)*F22)/(EOMONTH(G$4,0)-G$4),4)</f>
        <v>0.28999999999999998</v>
      </c>
      <c r="H53" s="136">
        <f ca="1">ROUND(((EOMONTH(H$4,0)-MAX(OFFSET('Alíquotas ICMS'!$E22,,MATCH(H22,'Alíquotas ICMS'!$E22:$L22,0)-2),H$4))*H22+(MAX(OFFSET('Alíquotas ICMS'!$E22,,MATCH(H22,'Alíquotas ICMS'!$E22:$L22,0)-2),H$4)-H$4)*G22)/(EOMONTH(H$4,0)-H$4),4)</f>
        <v>0.28999999999999998</v>
      </c>
      <c r="I53" s="136">
        <f ca="1">ROUND(((EOMONTH(I$4,0)-MAX(OFFSET('Alíquotas ICMS'!$E22,,MATCH(I22,'Alíquotas ICMS'!$E22:$L22,0)-2),I$4))*I22+(MAX(OFFSET('Alíquotas ICMS'!$E22,,MATCH(I22,'Alíquotas ICMS'!$E22:$L22,0)-2),I$4)-I$4)*H22)/(EOMONTH(I$4,0)-I$4),4)</f>
        <v>0.26340000000000002</v>
      </c>
      <c r="J53" s="136">
        <f ca="1">ROUND(((EOMONTH(J$4,0)-MAX(OFFSET('Alíquotas ICMS'!$E22,,MATCH(J22,'Alíquotas ICMS'!$E22:$L22,0)-2),J$4))*J22+(MAX(OFFSET('Alíquotas ICMS'!$E22,,MATCH(J22,'Alíquotas ICMS'!$E22:$L22,0)-2),J$4)-J$4)*I22)/(EOMONTH(J$4,0)-J$4),4)</f>
        <v>0.18</v>
      </c>
      <c r="K53" s="136">
        <f ca="1">ROUND(((EOMONTH(K$4,0)-MAX(OFFSET('Alíquotas ICMS'!$E22,,MATCH(K22,'Alíquotas ICMS'!$E22:$L22,0)-2),K$4))*K22+(MAX(OFFSET('Alíquotas ICMS'!$E22,,MATCH(K22,'Alíquotas ICMS'!$E22:$L22,0)-2),K$4)-K$4)*J22)/(EOMONTH(K$4,0)-K$4),4)</f>
        <v>0.18</v>
      </c>
      <c r="L53" s="136">
        <f ca="1">ROUND(((EOMONTH(L$4,0)-MAX(OFFSET('Alíquotas ICMS'!$E22,,MATCH(L22,'Alíquotas ICMS'!$E22:$L22,0)-2),L$4))*L22+(MAX(OFFSET('Alíquotas ICMS'!$E22,,MATCH(L22,'Alíquotas ICMS'!$E22:$L22,0)-2),L$4)-L$4)*K22)/(EOMONTH(L$4,0)-L$4),4)</f>
        <v>0.18</v>
      </c>
      <c r="M53" s="136">
        <f ca="1">ROUND(((EOMONTH(M$4,0)-MAX(OFFSET('Alíquotas ICMS'!$E22,,MATCH(M22,'Alíquotas ICMS'!$E22:$L22,0)-2),M$4))*M22+(MAX(OFFSET('Alíquotas ICMS'!$E22,,MATCH(M22,'Alíquotas ICMS'!$E22:$L22,0)-2),M$4)-M$4)*L22)/(EOMONTH(M$4,0)-M$4),4)</f>
        <v>0.18</v>
      </c>
      <c r="N53" s="136">
        <f ca="1">ROUND(((EOMONTH(N$4,0)-MAX(OFFSET('Alíquotas ICMS'!$E22,,MATCH(N22,'Alíquotas ICMS'!$E22:$L22,0)-2),N$4))*N22+(MAX(OFFSET('Alíquotas ICMS'!$E22,,MATCH(N22,'Alíquotas ICMS'!$E22:$L22,0)-2),N$4)-N$4)*M22)/(EOMONTH(N$4,0)-N$4),4)</f>
        <v>0.18</v>
      </c>
      <c r="O53" s="135">
        <f ca="1">ROUND(((EOMONTH(O$4,0)-MAX(OFFSET('Alíquotas ICMS'!$E22,,MATCH(O22,'Alíquotas ICMS'!$E22:$L22,0)-2),O$4))*O22+(MAX(OFFSET('Alíquotas ICMS'!$E22,,MATCH(O22,'Alíquotas ICMS'!$E22:$L22,0)-2),O$4)-O$4)*N22)/(EOMONTH(O$4,0)-O$4),4)</f>
        <v>0.18</v>
      </c>
    </row>
    <row r="54" spans="2:15" x14ac:dyDescent="0.25">
      <c r="B54" s="142" t="str">
        <f t="shared" si="1"/>
        <v>RJ</v>
      </c>
      <c r="C54" s="141"/>
      <c r="D54" s="140">
        <f ca="1">ROUND(((EOMONTH(D$4,0)-MAX(OFFSET('Alíquotas ICMS'!$E23,,MATCH(D23,'Alíquotas ICMS'!$E23:$L23,0)-2),D$4))*D23+(MAX(OFFSET('Alíquotas ICMS'!$E23,,MATCH(D23,'Alíquotas ICMS'!$E23:$L23,0)-2),D$4)-D$4)*C23)/(EOMONTH(D$4,0)-D$4),4)</f>
        <v>0.32</v>
      </c>
      <c r="E54" s="140">
        <f ca="1">ROUND(((EOMONTH(E$4,0)-MAX(OFFSET('Alíquotas ICMS'!$E23,,MATCH(E23,'Alíquotas ICMS'!$E23:$L23,0)-2),E$4))*E23+(MAX(OFFSET('Alíquotas ICMS'!$E23,,MATCH(E23,'Alíquotas ICMS'!$E23:$L23,0)-2),E$4)-E$4)*D23)/(EOMONTH(E$4,0)-E$4),4)</f>
        <v>0.32</v>
      </c>
      <c r="F54" s="140">
        <f ca="1">ROUND(((EOMONTH(F$4,0)-MAX(OFFSET('Alíquotas ICMS'!$E23,,MATCH(F23,'Alíquotas ICMS'!$E23:$L23,0)-2),F$4))*F23+(MAX(OFFSET('Alíquotas ICMS'!$E23,,MATCH(F23,'Alíquotas ICMS'!$E23:$L23,0)-2),F$4)-F$4)*E23)/(EOMONTH(F$4,0)-F$4),4)</f>
        <v>0.32</v>
      </c>
      <c r="G54" s="140">
        <f ca="1">ROUND(((EOMONTH(G$4,0)-MAX(OFFSET('Alíquotas ICMS'!$E23,,MATCH(G23,'Alíquotas ICMS'!$E23:$L23,0)-2),G$4))*G23+(MAX(OFFSET('Alíquotas ICMS'!$E23,,MATCH(G23,'Alíquotas ICMS'!$E23:$L23,0)-2),G$4)-G$4)*F23)/(EOMONTH(G$4,0)-G$4),4)</f>
        <v>0.32</v>
      </c>
      <c r="H54" s="140">
        <f ca="1">ROUND(((EOMONTH(H$4,0)-MAX(OFFSET('Alíquotas ICMS'!$E23,,MATCH(H23,'Alíquotas ICMS'!$E23:$L23,0)-2),H$4))*H23+(MAX(OFFSET('Alíquotas ICMS'!$E23,,MATCH(H23,'Alíquotas ICMS'!$E23:$L23,0)-2),H$4)-H$4)*G23)/(EOMONTH(H$4,0)-H$4),4)</f>
        <v>0.32</v>
      </c>
      <c r="I54" s="140">
        <f ca="1">ROUND(((EOMONTH(I$4,0)-MAX(OFFSET('Alíquotas ICMS'!$E23,,MATCH(I23,'Alíquotas ICMS'!$E23:$L23,0)-2),I$4))*I23+(MAX(OFFSET('Alíquotas ICMS'!$E23,,MATCH(I23,'Alíquotas ICMS'!$E23:$L23,0)-2),I$4)-I$4)*H23)/(EOMONTH(I$4,0)-I$4),4)</f>
        <v>0.32</v>
      </c>
      <c r="J54" s="140">
        <f ca="1">ROUND(((EOMONTH(J$4,0)-MAX(OFFSET('Alíquotas ICMS'!$E23,,MATCH(J23,'Alíquotas ICMS'!$E23:$L23,0)-2),J$4))*J23+(MAX(OFFSET('Alíquotas ICMS'!$E23,,MATCH(J23,'Alíquotas ICMS'!$E23:$L23,0)-2),J$4)-J$4)*I23)/(EOMONTH(J$4,0)-J$4),4)</f>
        <v>0.22</v>
      </c>
      <c r="K54" s="140">
        <f ca="1">ROUND(((EOMONTH(K$4,0)-MAX(OFFSET('Alíquotas ICMS'!$E23,,MATCH(K23,'Alíquotas ICMS'!$E23:$L23,0)-2),K$4))*K23+(MAX(OFFSET('Alíquotas ICMS'!$E23,,MATCH(K23,'Alíquotas ICMS'!$E23:$L23,0)-2),K$4)-K$4)*J23)/(EOMONTH(K$4,0)-K$4),4)</f>
        <v>0.22</v>
      </c>
      <c r="L54" s="140">
        <f ca="1">ROUND(((EOMONTH(L$4,0)-MAX(OFFSET('Alíquotas ICMS'!$E23,,MATCH(L23,'Alíquotas ICMS'!$E23:$L23,0)-2),L$4))*L23+(MAX(OFFSET('Alíquotas ICMS'!$E23,,MATCH(L23,'Alíquotas ICMS'!$E23:$L23,0)-2),L$4)-L$4)*K23)/(EOMONTH(L$4,0)-L$4),4)</f>
        <v>0.22</v>
      </c>
      <c r="M54" s="140">
        <f ca="1">ROUND(((EOMONTH(M$4,0)-MAX(OFFSET('Alíquotas ICMS'!$E23,,MATCH(M23,'Alíquotas ICMS'!$E23:$L23,0)-2),M$4))*M23+(MAX(OFFSET('Alíquotas ICMS'!$E23,,MATCH(M23,'Alíquotas ICMS'!$E23:$L23,0)-2),M$4)-M$4)*L23)/(EOMONTH(M$4,0)-M$4),4)</f>
        <v>0.22</v>
      </c>
      <c r="N54" s="140">
        <f ca="1">ROUND(((EOMONTH(N$4,0)-MAX(OFFSET('Alíquotas ICMS'!$E23,,MATCH(N23,'Alíquotas ICMS'!$E23:$L23,0)-2),N$4))*N23+(MAX(OFFSET('Alíquotas ICMS'!$E23,,MATCH(N23,'Alíquotas ICMS'!$E23:$L23,0)-2),N$4)-N$4)*M23)/(EOMONTH(N$4,0)-N$4),4)</f>
        <v>0.22</v>
      </c>
      <c r="O54" s="139">
        <f ca="1">ROUND(((EOMONTH(O$4,0)-MAX(OFFSET('Alíquotas ICMS'!$E23,,MATCH(O23,'Alíquotas ICMS'!$E23:$L23,0)-2),O$4))*O23+(MAX(OFFSET('Alíquotas ICMS'!$E23,,MATCH(O23,'Alíquotas ICMS'!$E23:$L23,0)-2),O$4)-O$4)*N23)/(EOMONTH(O$4,0)-O$4),4)</f>
        <v>0.22</v>
      </c>
    </row>
    <row r="55" spans="2:15" x14ac:dyDescent="0.25">
      <c r="B55" s="138" t="str">
        <f t="shared" si="1"/>
        <v>RN</v>
      </c>
      <c r="C55" s="137"/>
      <c r="D55" s="136">
        <f ca="1">ROUND(((EOMONTH(D$4,0)-MAX(OFFSET('Alíquotas ICMS'!$E24,,MATCH(D24,'Alíquotas ICMS'!$E24:$L24,0)-2),D$4))*D24+(MAX(OFFSET('Alíquotas ICMS'!$E24,,MATCH(D24,'Alíquotas ICMS'!$E24:$L24,0)-2),D$4)-D$4)*C24)/(EOMONTH(D$4,0)-D$4),4)</f>
        <v>0.3</v>
      </c>
      <c r="E55" s="136">
        <f ca="1">ROUND(((EOMONTH(E$4,0)-MAX(OFFSET('Alíquotas ICMS'!$E24,,MATCH(E24,'Alíquotas ICMS'!$E24:$L24,0)-2),E$4))*E24+(MAX(OFFSET('Alíquotas ICMS'!$E24,,MATCH(E24,'Alíquotas ICMS'!$E24:$L24,0)-2),E$4)-E$4)*D24)/(EOMONTH(E$4,0)-E$4),4)</f>
        <v>0.3</v>
      </c>
      <c r="F55" s="136">
        <f ca="1">ROUND(((EOMONTH(F$4,0)-MAX(OFFSET('Alíquotas ICMS'!$E24,,MATCH(F24,'Alíquotas ICMS'!$E24:$L24,0)-2),F$4))*F24+(MAX(OFFSET('Alíquotas ICMS'!$E24,,MATCH(F24,'Alíquotas ICMS'!$E24:$L24,0)-2),F$4)-F$4)*E24)/(EOMONTH(F$4,0)-F$4),4)</f>
        <v>0.3</v>
      </c>
      <c r="G55" s="136">
        <f ca="1">ROUND(((EOMONTH(G$4,0)-MAX(OFFSET('Alíquotas ICMS'!$E24,,MATCH(G24,'Alíquotas ICMS'!$E24:$L24,0)-2),G$4))*G24+(MAX(OFFSET('Alíquotas ICMS'!$E24,,MATCH(G24,'Alíquotas ICMS'!$E24:$L24,0)-2),G$4)-G$4)*F24)/(EOMONTH(G$4,0)-G$4),4)</f>
        <v>0.3</v>
      </c>
      <c r="H55" s="136">
        <f ca="1">ROUND(((EOMONTH(H$4,0)-MAX(OFFSET('Alíquotas ICMS'!$E24,,MATCH(H24,'Alíquotas ICMS'!$E24:$L24,0)-2),H$4))*H24+(MAX(OFFSET('Alíquotas ICMS'!$E24,,MATCH(H24,'Alíquotas ICMS'!$E24:$L24,0)-2),H$4)-H$4)*G24)/(EOMONTH(H$4,0)-H$4),4)</f>
        <v>0.3</v>
      </c>
      <c r="I55" s="136">
        <f ca="1">ROUND(((EOMONTH(I$4,0)-MAX(OFFSET('Alíquotas ICMS'!$E24,,MATCH(I24,'Alíquotas ICMS'!$E24:$L24,0)-2),I$4))*I24+(MAX(OFFSET('Alíquotas ICMS'!$E24,,MATCH(I24,'Alíquotas ICMS'!$E24:$L24,0)-2),I$4)-I$4)*H24)/(EOMONTH(I$4,0)-I$4),4)</f>
        <v>0.27100000000000002</v>
      </c>
      <c r="J55" s="136">
        <f ca="1">ROUND(((EOMONTH(J$4,0)-MAX(OFFSET('Alíquotas ICMS'!$E24,,MATCH(J24,'Alíquotas ICMS'!$E24:$L24,0)-2),J$4))*J24+(MAX(OFFSET('Alíquotas ICMS'!$E24,,MATCH(J24,'Alíquotas ICMS'!$E24:$L24,0)-2),J$4)-J$4)*I24)/(EOMONTH(J$4,0)-J$4),4)</f>
        <v>0.18</v>
      </c>
      <c r="K55" s="136">
        <f ca="1">ROUND(((EOMONTH(K$4,0)-MAX(OFFSET('Alíquotas ICMS'!$E24,,MATCH(K24,'Alíquotas ICMS'!$E24:$L24,0)-2),K$4))*K24+(MAX(OFFSET('Alíquotas ICMS'!$E24,,MATCH(K24,'Alíquotas ICMS'!$E24:$L24,0)-2),K$4)-K$4)*J24)/(EOMONTH(K$4,0)-K$4),4)</f>
        <v>0.18</v>
      </c>
      <c r="L55" s="136">
        <f ca="1">ROUND(((EOMONTH(L$4,0)-MAX(OFFSET('Alíquotas ICMS'!$E24,,MATCH(L24,'Alíquotas ICMS'!$E24:$L24,0)-2),L$4))*L24+(MAX(OFFSET('Alíquotas ICMS'!$E24,,MATCH(L24,'Alíquotas ICMS'!$E24:$L24,0)-2),L$4)-L$4)*K24)/(EOMONTH(L$4,0)-L$4),4)</f>
        <v>0.18</v>
      </c>
      <c r="M55" s="136">
        <f ca="1">ROUND(((EOMONTH(M$4,0)-MAX(OFFSET('Alíquotas ICMS'!$E24,,MATCH(M24,'Alíquotas ICMS'!$E24:$L24,0)-2),M$4))*M24+(MAX(OFFSET('Alíquotas ICMS'!$E24,,MATCH(M24,'Alíquotas ICMS'!$E24:$L24,0)-2),M$4)-M$4)*L24)/(EOMONTH(M$4,0)-M$4),4)</f>
        <v>0.18</v>
      </c>
      <c r="N55" s="136">
        <f ca="1">ROUND(((EOMONTH(N$4,0)-MAX(OFFSET('Alíquotas ICMS'!$E24,,MATCH(N24,'Alíquotas ICMS'!$E24:$L24,0)-2),N$4))*N24+(MAX(OFFSET('Alíquotas ICMS'!$E24,,MATCH(N24,'Alíquotas ICMS'!$E24:$L24,0)-2),N$4)-N$4)*M24)/(EOMONTH(N$4,0)-N$4),4)</f>
        <v>0.18</v>
      </c>
      <c r="O55" s="135">
        <f ca="1">ROUND(((EOMONTH(O$4,0)-MAX(OFFSET('Alíquotas ICMS'!$E24,,MATCH(O24,'Alíquotas ICMS'!$E24:$L24,0)-2),O$4))*O24+(MAX(OFFSET('Alíquotas ICMS'!$E24,,MATCH(O24,'Alíquotas ICMS'!$E24:$L24,0)-2),O$4)-O$4)*N24)/(EOMONTH(O$4,0)-O$4),4)</f>
        <v>0.18</v>
      </c>
    </row>
    <row r="56" spans="2:15" x14ac:dyDescent="0.25">
      <c r="B56" s="142" t="str">
        <f t="shared" si="1"/>
        <v>RO</v>
      </c>
      <c r="C56" s="141"/>
      <c r="D56" s="140">
        <f ca="1">ROUND(((EOMONTH(D$4,0)-MAX(OFFSET('Alíquotas ICMS'!$E25,,MATCH(D25,'Alíquotas ICMS'!$E25:$L25,0)-2),D$4))*D25+(MAX(OFFSET('Alíquotas ICMS'!$E25,,MATCH(D25,'Alíquotas ICMS'!$E25:$L25,0)-2),D$4)-D$4)*C25)/(EOMONTH(D$4,0)-D$4),4)</f>
        <v>0.35</v>
      </c>
      <c r="E56" s="140">
        <f ca="1">ROUND(((EOMONTH(E$4,0)-MAX(OFFSET('Alíquotas ICMS'!$E25,,MATCH(E25,'Alíquotas ICMS'!$E25:$L25,0)-2),E$4))*E25+(MAX(OFFSET('Alíquotas ICMS'!$E25,,MATCH(E25,'Alíquotas ICMS'!$E25:$L25,0)-2),E$4)-E$4)*D25)/(EOMONTH(E$4,0)-E$4),4)</f>
        <v>0.35</v>
      </c>
      <c r="F56" s="140">
        <f ca="1">ROUND(((EOMONTH(F$4,0)-MAX(OFFSET('Alíquotas ICMS'!$E25,,MATCH(F25,'Alíquotas ICMS'!$E25:$L25,0)-2),F$4))*F25+(MAX(OFFSET('Alíquotas ICMS'!$E25,,MATCH(F25,'Alíquotas ICMS'!$E25:$L25,0)-2),F$4)-F$4)*E25)/(EOMONTH(F$4,0)-F$4),4)</f>
        <v>0.35</v>
      </c>
      <c r="G56" s="140">
        <f ca="1">ROUND(((EOMONTH(G$4,0)-MAX(OFFSET('Alíquotas ICMS'!$E25,,MATCH(G25,'Alíquotas ICMS'!$E25:$L25,0)-2),G$4))*G25+(MAX(OFFSET('Alíquotas ICMS'!$E25,,MATCH(G25,'Alíquotas ICMS'!$E25:$L25,0)-2),G$4)-G$4)*F25)/(EOMONTH(G$4,0)-G$4),4)</f>
        <v>0.35</v>
      </c>
      <c r="H56" s="140">
        <f ca="1">ROUND(((EOMONTH(H$4,0)-MAX(OFFSET('Alíquotas ICMS'!$E25,,MATCH(H25,'Alíquotas ICMS'!$E25:$L25,0)-2),H$4))*H25+(MAX(OFFSET('Alíquotas ICMS'!$E25,,MATCH(H25,'Alíquotas ICMS'!$E25:$L25,0)-2),H$4)-H$4)*G25)/(EOMONTH(H$4,0)-H$4),4)</f>
        <v>0.35</v>
      </c>
      <c r="I56" s="140">
        <f ca="1">ROUND(((EOMONTH(I$4,0)-MAX(OFFSET('Alíquotas ICMS'!$E25,,MATCH(I25,'Alíquotas ICMS'!$E25:$L25,0)-2),I$4))*I25+(MAX(OFFSET('Alíquotas ICMS'!$E25,,MATCH(I25,'Alíquotas ICMS'!$E25:$L25,0)-2),I$4)-I$4)*H25)/(EOMONTH(I$4,0)-I$4),4)</f>
        <v>0.30780000000000002</v>
      </c>
      <c r="J56" s="140">
        <f ca="1">ROUND(((EOMONTH(J$4,0)-MAX(OFFSET('Alíquotas ICMS'!$E25,,MATCH(J25,'Alíquotas ICMS'!$E25:$L25,0)-2),J$4))*J25+(MAX(OFFSET('Alíquotas ICMS'!$E25,,MATCH(J25,'Alíquotas ICMS'!$E25:$L25,0)-2),J$4)-J$4)*I25)/(EOMONTH(J$4,0)-J$4),4)</f>
        <v>0.17499999999999999</v>
      </c>
      <c r="K56" s="140">
        <f ca="1">ROUND(((EOMONTH(K$4,0)-MAX(OFFSET('Alíquotas ICMS'!$E25,,MATCH(K25,'Alíquotas ICMS'!$E25:$L25,0)-2),K$4))*K25+(MAX(OFFSET('Alíquotas ICMS'!$E25,,MATCH(K25,'Alíquotas ICMS'!$E25:$L25,0)-2),K$4)-K$4)*J25)/(EOMONTH(K$4,0)-K$4),4)</f>
        <v>0.17499999999999999</v>
      </c>
      <c r="L56" s="140">
        <f ca="1">ROUND(((EOMONTH(L$4,0)-MAX(OFFSET('Alíquotas ICMS'!$E25,,MATCH(L25,'Alíquotas ICMS'!$E25:$L25,0)-2),L$4))*L25+(MAX(OFFSET('Alíquotas ICMS'!$E25,,MATCH(L25,'Alíquotas ICMS'!$E25:$L25,0)-2),L$4)-L$4)*K25)/(EOMONTH(L$4,0)-L$4),4)</f>
        <v>0.17499999999999999</v>
      </c>
      <c r="M56" s="140">
        <f ca="1">ROUND(((EOMONTH(M$4,0)-MAX(OFFSET('Alíquotas ICMS'!$E25,,MATCH(M25,'Alíquotas ICMS'!$E25:$L25,0)-2),M$4))*M25+(MAX(OFFSET('Alíquotas ICMS'!$E25,,MATCH(M25,'Alíquotas ICMS'!$E25:$L25,0)-2),M$4)-M$4)*L25)/(EOMONTH(M$4,0)-M$4),4)</f>
        <v>0.17499999999999999</v>
      </c>
      <c r="N56" s="140">
        <f ca="1">ROUND(((EOMONTH(N$4,0)-MAX(OFFSET('Alíquotas ICMS'!$E25,,MATCH(N25,'Alíquotas ICMS'!$E25:$L25,0)-2),N$4))*N25+(MAX(OFFSET('Alíquotas ICMS'!$E25,,MATCH(N25,'Alíquotas ICMS'!$E25:$L25,0)-2),N$4)-N$4)*M25)/(EOMONTH(N$4,0)-N$4),4)</f>
        <v>0.17499999999999999</v>
      </c>
      <c r="O56" s="139">
        <f ca="1">ROUND(((EOMONTH(O$4,0)-MAX(OFFSET('Alíquotas ICMS'!$E25,,MATCH(O25,'Alíquotas ICMS'!$E25:$L25,0)-2),O$4))*O25+(MAX(OFFSET('Alíquotas ICMS'!$E25,,MATCH(O25,'Alíquotas ICMS'!$E25:$L25,0)-2),O$4)-O$4)*N25)/(EOMONTH(O$4,0)-O$4),4)</f>
        <v>0.17499999999999999</v>
      </c>
    </row>
    <row r="57" spans="2:15" x14ac:dyDescent="0.25">
      <c r="B57" s="138" t="str">
        <f t="shared" si="1"/>
        <v>RR</v>
      </c>
      <c r="C57" s="137"/>
      <c r="D57" s="136">
        <f ca="1">ROUND(((EOMONTH(D$4,0)-MAX(OFFSET('Alíquotas ICMS'!$E26,,MATCH(D26,'Alíquotas ICMS'!$E26:$L26,0)-2),D$4))*D26+(MAX(OFFSET('Alíquotas ICMS'!$E26,,MATCH(D26,'Alíquotas ICMS'!$E26:$L26,0)-2),D$4)-D$4)*C26)/(EOMONTH(D$4,0)-D$4),4)</f>
        <v>0.25</v>
      </c>
      <c r="E57" s="136">
        <f ca="1">ROUND(((EOMONTH(E$4,0)-MAX(OFFSET('Alíquotas ICMS'!$E26,,MATCH(E26,'Alíquotas ICMS'!$E26:$L26,0)-2),E$4))*E26+(MAX(OFFSET('Alíquotas ICMS'!$E26,,MATCH(E26,'Alíquotas ICMS'!$E26:$L26,0)-2),E$4)-E$4)*D26)/(EOMONTH(E$4,0)-E$4),4)</f>
        <v>0.25</v>
      </c>
      <c r="F57" s="136">
        <f ca="1">ROUND(((EOMONTH(F$4,0)-MAX(OFFSET('Alíquotas ICMS'!$E26,,MATCH(F26,'Alíquotas ICMS'!$E26:$L26,0)-2),F$4))*F26+(MAX(OFFSET('Alíquotas ICMS'!$E26,,MATCH(F26,'Alíquotas ICMS'!$E26:$L26,0)-2),F$4)-F$4)*E26)/(EOMONTH(F$4,0)-F$4),4)</f>
        <v>0.25</v>
      </c>
      <c r="G57" s="136">
        <f ca="1">ROUND(((EOMONTH(G$4,0)-MAX(OFFSET('Alíquotas ICMS'!$E26,,MATCH(G26,'Alíquotas ICMS'!$E26:$L26,0)-2),G$4))*G26+(MAX(OFFSET('Alíquotas ICMS'!$E26,,MATCH(G26,'Alíquotas ICMS'!$E26:$L26,0)-2),G$4)-G$4)*F26)/(EOMONTH(G$4,0)-G$4),4)</f>
        <v>0.25</v>
      </c>
      <c r="H57" s="136">
        <f ca="1">ROUND(((EOMONTH(H$4,0)-MAX(OFFSET('Alíquotas ICMS'!$E26,,MATCH(H26,'Alíquotas ICMS'!$E26:$L26,0)-2),H$4))*H26+(MAX(OFFSET('Alíquotas ICMS'!$E26,,MATCH(H26,'Alíquotas ICMS'!$E26:$L26,0)-2),H$4)-H$4)*G26)/(EOMONTH(H$4,0)-H$4),4)</f>
        <v>0.25</v>
      </c>
      <c r="I57" s="136">
        <f ca="1">ROUND(((EOMONTH(I$4,0)-MAX(OFFSET('Alíquotas ICMS'!$E26,,MATCH(I26,'Alíquotas ICMS'!$E26:$L26,0)-2),I$4))*I26+(MAX(OFFSET('Alíquotas ICMS'!$E26,,MATCH(I26,'Alíquotas ICMS'!$E26:$L26,0)-2),I$4)-I$4)*H26)/(EOMONTH(I$4,0)-I$4),4)</f>
        <v>0.25</v>
      </c>
      <c r="J57" s="136">
        <f ca="1">ROUND(((EOMONTH(J$4,0)-MAX(OFFSET('Alíquotas ICMS'!$E26,,MATCH(J26,'Alíquotas ICMS'!$E26:$L26,0)-2),J$4))*J26+(MAX(OFFSET('Alíquotas ICMS'!$E26,,MATCH(J26,'Alíquotas ICMS'!$E26:$L26,0)-2),J$4)-J$4)*I26)/(EOMONTH(J$4,0)-J$4),4)</f>
        <v>0.17799999999999999</v>
      </c>
      <c r="K57" s="136">
        <f ca="1">ROUND(((EOMONTH(K$4,0)-MAX(OFFSET('Alíquotas ICMS'!$E26,,MATCH(K26,'Alíquotas ICMS'!$E26:$L26,0)-2),K$4))*K26+(MAX(OFFSET('Alíquotas ICMS'!$E26,,MATCH(K26,'Alíquotas ICMS'!$E26:$L26,0)-2),K$4)-K$4)*J26)/(EOMONTH(K$4,0)-K$4),4)</f>
        <v>0.17</v>
      </c>
      <c r="L57" s="136">
        <f ca="1">ROUND(((EOMONTH(L$4,0)-MAX(OFFSET('Alíquotas ICMS'!$E26,,MATCH(L26,'Alíquotas ICMS'!$E26:$L26,0)-2),L$4))*L26+(MAX(OFFSET('Alíquotas ICMS'!$E26,,MATCH(L26,'Alíquotas ICMS'!$E26:$L26,0)-2),L$4)-L$4)*K26)/(EOMONTH(L$4,0)-L$4),4)</f>
        <v>0.17</v>
      </c>
      <c r="M57" s="136">
        <f ca="1">ROUND(((EOMONTH(M$4,0)-MAX(OFFSET('Alíquotas ICMS'!$E26,,MATCH(M26,'Alíquotas ICMS'!$E26:$L26,0)-2),M$4))*M26+(MAX(OFFSET('Alíquotas ICMS'!$E26,,MATCH(M26,'Alíquotas ICMS'!$E26:$L26,0)-2),M$4)-M$4)*L26)/(EOMONTH(M$4,0)-M$4),4)</f>
        <v>0.17</v>
      </c>
      <c r="N57" s="136">
        <f ca="1">ROUND(((EOMONTH(N$4,0)-MAX(OFFSET('Alíquotas ICMS'!$E26,,MATCH(N26,'Alíquotas ICMS'!$E26:$L26,0)-2),N$4))*N26+(MAX(OFFSET('Alíquotas ICMS'!$E26,,MATCH(N26,'Alíquotas ICMS'!$E26:$L26,0)-2),N$4)-N$4)*M26)/(EOMONTH(N$4,0)-N$4),4)</f>
        <v>0.17</v>
      </c>
      <c r="O57" s="135">
        <f ca="1">ROUND(((EOMONTH(O$4,0)-MAX(OFFSET('Alíquotas ICMS'!$E26,,MATCH(O26,'Alíquotas ICMS'!$E26:$L26,0)-2),O$4))*O26+(MAX(OFFSET('Alíquotas ICMS'!$E26,,MATCH(O26,'Alíquotas ICMS'!$E26:$L26,0)-2),O$4)-O$4)*N26)/(EOMONTH(O$4,0)-O$4),4)</f>
        <v>0.17</v>
      </c>
    </row>
    <row r="58" spans="2:15" x14ac:dyDescent="0.25">
      <c r="B58" s="142" t="str">
        <f t="shared" si="1"/>
        <v>RS</v>
      </c>
      <c r="C58" s="141"/>
      <c r="D58" s="140">
        <f ca="1">ROUND(((EOMONTH(D$4,0)-MAX(OFFSET('Alíquotas ICMS'!$E27,,MATCH(D27,'Alíquotas ICMS'!$E27:$L27,0)-2),D$4))*D27+(MAX(OFFSET('Alíquotas ICMS'!$E27,,MATCH(D27,'Alíquotas ICMS'!$E27:$L27,0)-2),D$4)-D$4)*C27)/(EOMONTH(D$4,0)-D$4),4)</f>
        <v>0.25</v>
      </c>
      <c r="E58" s="140">
        <f ca="1">ROUND(((EOMONTH(E$4,0)-MAX(OFFSET('Alíquotas ICMS'!$E27,,MATCH(E27,'Alíquotas ICMS'!$E27:$L27,0)-2),E$4))*E27+(MAX(OFFSET('Alíquotas ICMS'!$E27,,MATCH(E27,'Alíquotas ICMS'!$E27:$L27,0)-2),E$4)-E$4)*D27)/(EOMONTH(E$4,0)-E$4),4)</f>
        <v>0.25</v>
      </c>
      <c r="F58" s="140">
        <f ca="1">ROUND(((EOMONTH(F$4,0)-MAX(OFFSET('Alíquotas ICMS'!$E27,,MATCH(F27,'Alíquotas ICMS'!$E27:$L27,0)-2),F$4))*F27+(MAX(OFFSET('Alíquotas ICMS'!$E27,,MATCH(F27,'Alíquotas ICMS'!$E27:$L27,0)-2),F$4)-F$4)*E27)/(EOMONTH(F$4,0)-F$4),4)</f>
        <v>0.25</v>
      </c>
      <c r="G58" s="140">
        <f ca="1">ROUND(((EOMONTH(G$4,0)-MAX(OFFSET('Alíquotas ICMS'!$E27,,MATCH(G27,'Alíquotas ICMS'!$E27:$L27,0)-2),G$4))*G27+(MAX(OFFSET('Alíquotas ICMS'!$E27,,MATCH(G27,'Alíquotas ICMS'!$E27:$L27,0)-2),G$4)-G$4)*F27)/(EOMONTH(G$4,0)-G$4),4)</f>
        <v>0.25</v>
      </c>
      <c r="H58" s="140">
        <f ca="1">ROUND(((EOMONTH(H$4,0)-MAX(OFFSET('Alíquotas ICMS'!$E27,,MATCH(H27,'Alíquotas ICMS'!$E27:$L27,0)-2),H$4))*H27+(MAX(OFFSET('Alíquotas ICMS'!$E27,,MATCH(H27,'Alíquotas ICMS'!$E27:$L27,0)-2),H$4)-H$4)*G27)/(EOMONTH(H$4,0)-H$4),4)</f>
        <v>0.25</v>
      </c>
      <c r="I58" s="140">
        <f ca="1">ROUND(((EOMONTH(I$4,0)-MAX(OFFSET('Alíquotas ICMS'!$E27,,MATCH(I27,'Alíquotas ICMS'!$E27:$L27,0)-2),I$4))*I27+(MAX(OFFSET('Alíquotas ICMS'!$E27,,MATCH(I27,'Alíquotas ICMS'!$E27:$L27,0)-2),I$4)-I$4)*H27)/(EOMONTH(I$4,0)-I$4),4)</f>
        <v>0.23069999999999999</v>
      </c>
      <c r="J58" s="140">
        <f ca="1">ROUND(((EOMONTH(J$4,0)-MAX(OFFSET('Alíquotas ICMS'!$E27,,MATCH(J27,'Alíquotas ICMS'!$E27:$L27,0)-2),J$4))*J27+(MAX(OFFSET('Alíquotas ICMS'!$E27,,MATCH(J27,'Alíquotas ICMS'!$E27:$L27,0)-2),J$4)-J$4)*I27)/(EOMONTH(J$4,0)-J$4),4)</f>
        <v>0.17</v>
      </c>
      <c r="K58" s="140">
        <f ca="1">ROUND(((EOMONTH(K$4,0)-MAX(OFFSET('Alíquotas ICMS'!$E27,,MATCH(K27,'Alíquotas ICMS'!$E27:$L27,0)-2),K$4))*K27+(MAX(OFFSET('Alíquotas ICMS'!$E27,,MATCH(K27,'Alíquotas ICMS'!$E27:$L27,0)-2),K$4)-K$4)*J27)/(EOMONTH(K$4,0)-K$4),4)</f>
        <v>0.17</v>
      </c>
      <c r="L58" s="140">
        <f ca="1">ROUND(((EOMONTH(L$4,0)-MAX(OFFSET('Alíquotas ICMS'!$E27,,MATCH(L27,'Alíquotas ICMS'!$E27:$L27,0)-2),L$4))*L27+(MAX(OFFSET('Alíquotas ICMS'!$E27,,MATCH(L27,'Alíquotas ICMS'!$E27:$L27,0)-2),L$4)-L$4)*K27)/(EOMONTH(L$4,0)-L$4),4)</f>
        <v>0.17</v>
      </c>
      <c r="M58" s="140">
        <f ca="1">ROUND(((EOMONTH(M$4,0)-MAX(OFFSET('Alíquotas ICMS'!$E27,,MATCH(M27,'Alíquotas ICMS'!$E27:$L27,0)-2),M$4))*M27+(MAX(OFFSET('Alíquotas ICMS'!$E27,,MATCH(M27,'Alíquotas ICMS'!$E27:$L27,0)-2),M$4)-M$4)*L27)/(EOMONTH(M$4,0)-M$4),4)</f>
        <v>0.17</v>
      </c>
      <c r="N58" s="140">
        <f ca="1">ROUND(((EOMONTH(N$4,0)-MAX(OFFSET('Alíquotas ICMS'!$E27,,MATCH(N27,'Alíquotas ICMS'!$E27:$L27,0)-2),N$4))*N27+(MAX(OFFSET('Alíquotas ICMS'!$E27,,MATCH(N27,'Alíquotas ICMS'!$E27:$L27,0)-2),N$4)-N$4)*M27)/(EOMONTH(N$4,0)-N$4),4)</f>
        <v>0.17</v>
      </c>
      <c r="O58" s="139">
        <f ca="1">ROUND(((EOMONTH(O$4,0)-MAX(OFFSET('Alíquotas ICMS'!$E27,,MATCH(O27,'Alíquotas ICMS'!$E27:$L27,0)-2),O$4))*O27+(MAX(OFFSET('Alíquotas ICMS'!$E27,,MATCH(O27,'Alíquotas ICMS'!$E27:$L27,0)-2),O$4)-O$4)*N27)/(EOMONTH(O$4,0)-O$4),4)</f>
        <v>0.17</v>
      </c>
    </row>
    <row r="59" spans="2:15" x14ac:dyDescent="0.25">
      <c r="B59" s="138" t="str">
        <f t="shared" si="1"/>
        <v>SC</v>
      </c>
      <c r="C59" s="137"/>
      <c r="D59" s="136">
        <f ca="1">ROUND(((EOMONTH(D$4,0)-MAX(OFFSET('Alíquotas ICMS'!$E28,,MATCH(D28,'Alíquotas ICMS'!$E28:$L28,0)-2),D$4))*D28+(MAX(OFFSET('Alíquotas ICMS'!$E28,,MATCH(D28,'Alíquotas ICMS'!$E28:$L28,0)-2),D$4)-D$4)*C28)/(EOMONTH(D$4,0)-D$4),4)</f>
        <v>0.25</v>
      </c>
      <c r="E59" s="136">
        <f ca="1">ROUND(((EOMONTH(E$4,0)-MAX(OFFSET('Alíquotas ICMS'!$E28,,MATCH(E28,'Alíquotas ICMS'!$E28:$L28,0)-2),E$4))*E28+(MAX(OFFSET('Alíquotas ICMS'!$E28,,MATCH(E28,'Alíquotas ICMS'!$E28:$L28,0)-2),E$4)-E$4)*D28)/(EOMONTH(E$4,0)-E$4),4)</f>
        <v>0.25</v>
      </c>
      <c r="F59" s="136">
        <f ca="1">ROUND(((EOMONTH(F$4,0)-MAX(OFFSET('Alíquotas ICMS'!$E28,,MATCH(F28,'Alíquotas ICMS'!$E28:$L28,0)-2),F$4))*F28+(MAX(OFFSET('Alíquotas ICMS'!$E28,,MATCH(F28,'Alíquotas ICMS'!$E28:$L28,0)-2),F$4)-F$4)*E28)/(EOMONTH(F$4,0)-F$4),4)</f>
        <v>0.25</v>
      </c>
      <c r="G59" s="136">
        <f ca="1">ROUND(((EOMONTH(G$4,0)-MAX(OFFSET('Alíquotas ICMS'!$E28,,MATCH(G28,'Alíquotas ICMS'!$E28:$L28,0)-2),G$4))*G28+(MAX(OFFSET('Alíquotas ICMS'!$E28,,MATCH(G28,'Alíquotas ICMS'!$E28:$L28,0)-2),G$4)-G$4)*F28)/(EOMONTH(G$4,0)-G$4),4)</f>
        <v>0.25</v>
      </c>
      <c r="H59" s="136">
        <f ca="1">ROUND(((EOMONTH(H$4,0)-MAX(OFFSET('Alíquotas ICMS'!$E28,,MATCH(H28,'Alíquotas ICMS'!$E28:$L28,0)-2),H$4))*H28+(MAX(OFFSET('Alíquotas ICMS'!$E28,,MATCH(H28,'Alíquotas ICMS'!$E28:$L28,0)-2),H$4)-H$4)*G28)/(EOMONTH(H$4,0)-H$4),4)</f>
        <v>0.25</v>
      </c>
      <c r="I59" s="136">
        <f ca="1">ROUND(((EOMONTH(I$4,0)-MAX(OFFSET('Alíquotas ICMS'!$E28,,MATCH(I28,'Alíquotas ICMS'!$E28:$L28,0)-2),I$4))*I28+(MAX(OFFSET('Alíquotas ICMS'!$E28,,MATCH(I28,'Alíquotas ICMS'!$E28:$L28,0)-2),I$4)-I$4)*H28)/(EOMONTH(I$4,0)-I$4),4)</f>
        <v>0.25</v>
      </c>
      <c r="J59" s="136">
        <f ca="1">ROUND(((EOMONTH(J$4,0)-MAX(OFFSET('Alíquotas ICMS'!$E28,,MATCH(J28,'Alíquotas ICMS'!$E28:$L28,0)-2),J$4))*J28+(MAX(OFFSET('Alíquotas ICMS'!$E28,,MATCH(J28,'Alíquotas ICMS'!$E28:$L28,0)-2),J$4)-J$4)*I28)/(EOMONTH(J$4,0)-J$4),4)</f>
        <v>0.17</v>
      </c>
      <c r="K59" s="136">
        <f ca="1">ROUND(((EOMONTH(K$4,0)-MAX(OFFSET('Alíquotas ICMS'!$E28,,MATCH(K28,'Alíquotas ICMS'!$E28:$L28,0)-2),K$4))*K28+(MAX(OFFSET('Alíquotas ICMS'!$E28,,MATCH(K28,'Alíquotas ICMS'!$E28:$L28,0)-2),K$4)-K$4)*J28)/(EOMONTH(K$4,0)-K$4),4)</f>
        <v>0.17</v>
      </c>
      <c r="L59" s="136">
        <f ca="1">ROUND(((EOMONTH(L$4,0)-MAX(OFFSET('Alíquotas ICMS'!$E28,,MATCH(L28,'Alíquotas ICMS'!$E28:$L28,0)-2),L$4))*L28+(MAX(OFFSET('Alíquotas ICMS'!$E28,,MATCH(L28,'Alíquotas ICMS'!$E28:$L28,0)-2),L$4)-L$4)*K28)/(EOMONTH(L$4,0)-L$4),4)</f>
        <v>0.17</v>
      </c>
      <c r="M59" s="136">
        <f ca="1">ROUND(((EOMONTH(M$4,0)-MAX(OFFSET('Alíquotas ICMS'!$E28,,MATCH(M28,'Alíquotas ICMS'!$E28:$L28,0)-2),M$4))*M28+(MAX(OFFSET('Alíquotas ICMS'!$E28,,MATCH(M28,'Alíquotas ICMS'!$E28:$L28,0)-2),M$4)-M$4)*L28)/(EOMONTH(M$4,0)-M$4),4)</f>
        <v>0.17</v>
      </c>
      <c r="N59" s="136">
        <f ca="1">ROUND(((EOMONTH(N$4,0)-MAX(OFFSET('Alíquotas ICMS'!$E28,,MATCH(N28,'Alíquotas ICMS'!$E28:$L28,0)-2),N$4))*N28+(MAX(OFFSET('Alíquotas ICMS'!$E28,,MATCH(N28,'Alíquotas ICMS'!$E28:$L28,0)-2),N$4)-N$4)*M28)/(EOMONTH(N$4,0)-N$4),4)</f>
        <v>0.17</v>
      </c>
      <c r="O59" s="135">
        <f ca="1">ROUND(((EOMONTH(O$4,0)-MAX(OFFSET('Alíquotas ICMS'!$E28,,MATCH(O28,'Alíquotas ICMS'!$E28:$L28,0)-2),O$4))*O28+(MAX(OFFSET('Alíquotas ICMS'!$E28,,MATCH(O28,'Alíquotas ICMS'!$E28:$L28,0)-2),O$4)-O$4)*N28)/(EOMONTH(O$4,0)-O$4),4)</f>
        <v>0.17</v>
      </c>
    </row>
    <row r="60" spans="2:15" x14ac:dyDescent="0.25">
      <c r="B60" s="142" t="str">
        <f t="shared" si="1"/>
        <v>SE</v>
      </c>
      <c r="C60" s="141"/>
      <c r="D60" s="140">
        <f ca="1">ROUND(((EOMONTH(D$4,0)-MAX(OFFSET('Alíquotas ICMS'!$E29,,MATCH(D29,'Alíquotas ICMS'!$E29:$L29,0)-2),D$4))*D29+(MAX(OFFSET('Alíquotas ICMS'!$E29,,MATCH(D29,'Alíquotas ICMS'!$E29:$L29,0)-2),D$4)-D$4)*C29)/(EOMONTH(D$4,0)-D$4),4)</f>
        <v>0.3</v>
      </c>
      <c r="E60" s="140">
        <f ca="1">ROUND(((EOMONTH(E$4,0)-MAX(OFFSET('Alíquotas ICMS'!$E29,,MATCH(E29,'Alíquotas ICMS'!$E29:$L29,0)-2),E$4))*E29+(MAX(OFFSET('Alíquotas ICMS'!$E29,,MATCH(E29,'Alíquotas ICMS'!$E29:$L29,0)-2),E$4)-E$4)*D29)/(EOMONTH(E$4,0)-E$4),4)</f>
        <v>0.3</v>
      </c>
      <c r="F60" s="140">
        <f ca="1">ROUND(((EOMONTH(F$4,0)-MAX(OFFSET('Alíquotas ICMS'!$E29,,MATCH(F29,'Alíquotas ICMS'!$E29:$L29,0)-2),F$4))*F29+(MAX(OFFSET('Alíquotas ICMS'!$E29,,MATCH(F29,'Alíquotas ICMS'!$E29:$L29,0)-2),F$4)-F$4)*E29)/(EOMONTH(F$4,0)-F$4),4)</f>
        <v>0.3</v>
      </c>
      <c r="G60" s="140">
        <f ca="1">ROUND(((EOMONTH(G$4,0)-MAX(OFFSET('Alíquotas ICMS'!$E29,,MATCH(G29,'Alíquotas ICMS'!$E29:$L29,0)-2),G$4))*G29+(MAX(OFFSET('Alíquotas ICMS'!$E29,,MATCH(G29,'Alíquotas ICMS'!$E29:$L29,0)-2),G$4)-G$4)*F29)/(EOMONTH(G$4,0)-G$4),4)</f>
        <v>0.3</v>
      </c>
      <c r="H60" s="140">
        <f ca="1">ROUND(((EOMONTH(H$4,0)-MAX(OFFSET('Alíquotas ICMS'!$E29,,MATCH(H29,'Alíquotas ICMS'!$E29:$L29,0)-2),H$4))*H29+(MAX(OFFSET('Alíquotas ICMS'!$E29,,MATCH(H29,'Alíquotas ICMS'!$E29:$L29,0)-2),H$4)-H$4)*G29)/(EOMONTH(H$4,0)-H$4),4)</f>
        <v>0.3</v>
      </c>
      <c r="I60" s="140">
        <f ca="1">ROUND(((EOMONTH(I$4,0)-MAX(OFFSET('Alíquotas ICMS'!$E29,,MATCH(I29,'Alíquotas ICMS'!$E29:$L29,0)-2),I$4))*I29+(MAX(OFFSET('Alíquotas ICMS'!$E29,,MATCH(I29,'Alíquotas ICMS'!$E29:$L29,0)-2),I$4)-I$4)*H29)/(EOMONTH(I$4,0)-I$4),4)</f>
        <v>0.3</v>
      </c>
      <c r="J60" s="140">
        <f ca="1">ROUND(((EOMONTH(J$4,0)-MAX(OFFSET('Alíquotas ICMS'!$E29,,MATCH(J29,'Alíquotas ICMS'!$E29:$L29,0)-2),J$4))*J29+(MAX(OFFSET('Alíquotas ICMS'!$E29,,MATCH(J29,'Alíquotas ICMS'!$E29:$L29,0)-2),J$4)-J$4)*I29)/(EOMONTH(J$4,0)-J$4),4)</f>
        <v>0.19600000000000001</v>
      </c>
      <c r="K60" s="140">
        <f ca="1">ROUND(((EOMONTH(K$4,0)-MAX(OFFSET('Alíquotas ICMS'!$E29,,MATCH(K29,'Alíquotas ICMS'!$E29:$L29,0)-2),K$4))*K29+(MAX(OFFSET('Alíquotas ICMS'!$E29,,MATCH(K29,'Alíquotas ICMS'!$E29:$L29,0)-2),K$4)-K$4)*J29)/(EOMONTH(K$4,0)-K$4),4)</f>
        <v>0.18</v>
      </c>
      <c r="L60" s="140">
        <f ca="1">ROUND(((EOMONTH(L$4,0)-MAX(OFFSET('Alíquotas ICMS'!$E29,,MATCH(L29,'Alíquotas ICMS'!$E29:$L29,0)-2),L$4))*L29+(MAX(OFFSET('Alíquotas ICMS'!$E29,,MATCH(L29,'Alíquotas ICMS'!$E29:$L29,0)-2),L$4)-L$4)*K29)/(EOMONTH(L$4,0)-L$4),4)</f>
        <v>0.18</v>
      </c>
      <c r="M60" s="140">
        <f ca="1">ROUND(((EOMONTH(M$4,0)-MAX(OFFSET('Alíquotas ICMS'!$E29,,MATCH(M29,'Alíquotas ICMS'!$E29:$L29,0)-2),M$4))*M29+(MAX(OFFSET('Alíquotas ICMS'!$E29,,MATCH(M29,'Alíquotas ICMS'!$E29:$L29,0)-2),M$4)-M$4)*L29)/(EOMONTH(M$4,0)-M$4),4)</f>
        <v>0.18</v>
      </c>
      <c r="N60" s="140">
        <f ca="1">ROUND(((EOMONTH(N$4,0)-MAX(OFFSET('Alíquotas ICMS'!$E29,,MATCH(N29,'Alíquotas ICMS'!$E29:$L29,0)-2),N$4))*N29+(MAX(OFFSET('Alíquotas ICMS'!$E29,,MATCH(N29,'Alíquotas ICMS'!$E29:$L29,0)-2),N$4)-N$4)*M29)/(EOMONTH(N$4,0)-N$4),4)</f>
        <v>0.18</v>
      </c>
      <c r="O60" s="139">
        <f ca="1">ROUND(((EOMONTH(O$4,0)-MAX(OFFSET('Alíquotas ICMS'!$E29,,MATCH(O29,'Alíquotas ICMS'!$E29:$L29,0)-2),O$4))*O29+(MAX(OFFSET('Alíquotas ICMS'!$E29,,MATCH(O29,'Alíquotas ICMS'!$E29:$L29,0)-2),O$4)-O$4)*N29)/(EOMONTH(O$4,0)-O$4),4)</f>
        <v>0.18</v>
      </c>
    </row>
    <row r="61" spans="2:15" x14ac:dyDescent="0.25">
      <c r="B61" s="138" t="str">
        <f t="shared" si="1"/>
        <v>SP</v>
      </c>
      <c r="C61" s="137"/>
      <c r="D61" s="136">
        <f ca="1">ROUND(((EOMONTH(D$4,0)-MAX(OFFSET('Alíquotas ICMS'!$E30,,MATCH(D30,'Alíquotas ICMS'!$E30:$L30,0)-2),D$4))*D30+(MAX(OFFSET('Alíquotas ICMS'!$E30,,MATCH(D30,'Alíquotas ICMS'!$E30:$L30,0)-2),D$4)-D$4)*C30)/(EOMONTH(D$4,0)-D$4),4)</f>
        <v>0.25</v>
      </c>
      <c r="E61" s="136">
        <f ca="1">ROUND(((EOMONTH(E$4,0)-MAX(OFFSET('Alíquotas ICMS'!$E30,,MATCH(E30,'Alíquotas ICMS'!$E30:$L30,0)-2),E$4))*E30+(MAX(OFFSET('Alíquotas ICMS'!$E30,,MATCH(E30,'Alíquotas ICMS'!$E30:$L30,0)-2),E$4)-E$4)*D30)/(EOMONTH(E$4,0)-E$4),4)</f>
        <v>0.25</v>
      </c>
      <c r="F61" s="136">
        <f ca="1">ROUND(((EOMONTH(F$4,0)-MAX(OFFSET('Alíquotas ICMS'!$E30,,MATCH(F30,'Alíquotas ICMS'!$E30:$L30,0)-2),F$4))*F30+(MAX(OFFSET('Alíquotas ICMS'!$E30,,MATCH(F30,'Alíquotas ICMS'!$E30:$L30,0)-2),F$4)-F$4)*E30)/(EOMONTH(F$4,0)-F$4),4)</f>
        <v>0.25</v>
      </c>
      <c r="G61" s="136">
        <f ca="1">ROUND(((EOMONTH(G$4,0)-MAX(OFFSET('Alíquotas ICMS'!$E30,,MATCH(G30,'Alíquotas ICMS'!$E30:$L30,0)-2),G$4))*G30+(MAX(OFFSET('Alíquotas ICMS'!$E30,,MATCH(G30,'Alíquotas ICMS'!$E30:$L30,0)-2),G$4)-G$4)*F30)/(EOMONTH(G$4,0)-G$4),4)</f>
        <v>0.25</v>
      </c>
      <c r="H61" s="136">
        <f ca="1">ROUND(((EOMONTH(H$4,0)-MAX(OFFSET('Alíquotas ICMS'!$E30,,MATCH(H30,'Alíquotas ICMS'!$E30:$L30,0)-2),H$4))*H30+(MAX(OFFSET('Alíquotas ICMS'!$E30,,MATCH(H30,'Alíquotas ICMS'!$E30:$L30,0)-2),H$4)-H$4)*G30)/(EOMONTH(H$4,0)-H$4),4)</f>
        <v>0.25</v>
      </c>
      <c r="I61" s="136">
        <f ca="1">ROUND(((EOMONTH(I$4,0)-MAX(OFFSET('Alíquotas ICMS'!$E30,,MATCH(I30,'Alíquotas ICMS'!$E30:$L30,0)-2),I$4))*I30+(MAX(OFFSET('Alíquotas ICMS'!$E30,,MATCH(I30,'Alíquotas ICMS'!$E30:$L30,0)-2),I$4)-I$4)*H30)/(EOMONTH(I$4,0)-I$4),4)</f>
        <v>0.2331</v>
      </c>
      <c r="J61" s="136">
        <f ca="1">ROUND(((EOMONTH(J$4,0)-MAX(OFFSET('Alíquotas ICMS'!$E30,,MATCH(J30,'Alíquotas ICMS'!$E30:$L30,0)-2),J$4))*J30+(MAX(OFFSET('Alíquotas ICMS'!$E30,,MATCH(J30,'Alíquotas ICMS'!$E30:$L30,0)-2),J$4)-J$4)*I30)/(EOMONTH(J$4,0)-J$4),4)</f>
        <v>0.18</v>
      </c>
      <c r="K61" s="136">
        <f ca="1">ROUND(((EOMONTH(K$4,0)-MAX(OFFSET('Alíquotas ICMS'!$E30,,MATCH(K30,'Alíquotas ICMS'!$E30:$L30,0)-2),K$4))*K30+(MAX(OFFSET('Alíquotas ICMS'!$E30,,MATCH(K30,'Alíquotas ICMS'!$E30:$L30,0)-2),K$4)-K$4)*J30)/(EOMONTH(K$4,0)-K$4),4)</f>
        <v>0.18</v>
      </c>
      <c r="L61" s="136">
        <f ca="1">ROUND(((EOMONTH(L$4,0)-MAX(OFFSET('Alíquotas ICMS'!$E30,,MATCH(L30,'Alíquotas ICMS'!$E30:$L30,0)-2),L$4))*L30+(MAX(OFFSET('Alíquotas ICMS'!$E30,,MATCH(L30,'Alíquotas ICMS'!$E30:$L30,0)-2),L$4)-L$4)*K30)/(EOMONTH(L$4,0)-L$4),4)</f>
        <v>0.18</v>
      </c>
      <c r="M61" s="136">
        <f ca="1">ROUND(((EOMONTH(M$4,0)-MAX(OFFSET('Alíquotas ICMS'!$E30,,MATCH(M30,'Alíquotas ICMS'!$E30:$L30,0)-2),M$4))*M30+(MAX(OFFSET('Alíquotas ICMS'!$E30,,MATCH(M30,'Alíquotas ICMS'!$E30:$L30,0)-2),M$4)-M$4)*L30)/(EOMONTH(M$4,0)-M$4),4)</f>
        <v>0.18</v>
      </c>
      <c r="N61" s="136">
        <f ca="1">ROUND(((EOMONTH(N$4,0)-MAX(OFFSET('Alíquotas ICMS'!$E30,,MATCH(N30,'Alíquotas ICMS'!$E30:$L30,0)-2),N$4))*N30+(MAX(OFFSET('Alíquotas ICMS'!$E30,,MATCH(N30,'Alíquotas ICMS'!$E30:$L30,0)-2),N$4)-N$4)*M30)/(EOMONTH(N$4,0)-N$4),4)</f>
        <v>0.18</v>
      </c>
      <c r="O61" s="135">
        <f ca="1">ROUND(((EOMONTH(O$4,0)-MAX(OFFSET('Alíquotas ICMS'!$E30,,MATCH(O30,'Alíquotas ICMS'!$E30:$L30,0)-2),O$4))*O30+(MAX(OFFSET('Alíquotas ICMS'!$E30,,MATCH(O30,'Alíquotas ICMS'!$E30:$L30,0)-2),O$4)-O$4)*N30)/(EOMONTH(O$4,0)-O$4),4)</f>
        <v>0.18</v>
      </c>
    </row>
    <row r="62" spans="2:15" x14ac:dyDescent="0.25">
      <c r="B62" s="172" t="str">
        <f t="shared" si="1"/>
        <v>TO</v>
      </c>
      <c r="C62" s="173"/>
      <c r="D62" s="174">
        <f ca="1">ROUND(((EOMONTH(D$4,0)-MAX(OFFSET('Alíquotas ICMS'!$E31,,MATCH(D31,'Alíquotas ICMS'!$E31:$L31,0)-2),D$4))*D31+(MAX(OFFSET('Alíquotas ICMS'!$E31,,MATCH(D31,'Alíquotas ICMS'!$E31:$L31,0)-2),D$4)-D$4)*C31)/(EOMONTH(D$4,0)-D$4),4)</f>
        <v>0.28999999999999998</v>
      </c>
      <c r="E62" s="174">
        <f ca="1">ROUND(((EOMONTH(E$4,0)-MAX(OFFSET('Alíquotas ICMS'!$E31,,MATCH(E31,'Alíquotas ICMS'!$E31:$L31,0)-2),E$4))*E31+(MAX(OFFSET('Alíquotas ICMS'!$E31,,MATCH(E31,'Alíquotas ICMS'!$E31:$L31,0)-2),E$4)-E$4)*D31)/(EOMONTH(E$4,0)-E$4),4)</f>
        <v>0.28999999999999998</v>
      </c>
      <c r="F62" s="174">
        <f ca="1">ROUND(((EOMONTH(F$4,0)-MAX(OFFSET('Alíquotas ICMS'!$E31,,MATCH(F31,'Alíquotas ICMS'!$E31:$L31,0)-2),F$4))*F31+(MAX(OFFSET('Alíquotas ICMS'!$E31,,MATCH(F31,'Alíquotas ICMS'!$E31:$L31,0)-2),F$4)-F$4)*E31)/(EOMONTH(F$4,0)-F$4),4)</f>
        <v>0.28999999999999998</v>
      </c>
      <c r="G62" s="174">
        <f ca="1">ROUND(((EOMONTH(G$4,0)-MAX(OFFSET('Alíquotas ICMS'!$E31,,MATCH(G31,'Alíquotas ICMS'!$E31:$L31,0)-2),G$4))*G31+(MAX(OFFSET('Alíquotas ICMS'!$E31,,MATCH(G31,'Alíquotas ICMS'!$E31:$L31,0)-2),G$4)-G$4)*F31)/(EOMONTH(G$4,0)-G$4),4)</f>
        <v>0.28999999999999998</v>
      </c>
      <c r="H62" s="174">
        <f ca="1">ROUND(((EOMONTH(H$4,0)-MAX(OFFSET('Alíquotas ICMS'!$E31,,MATCH(H31,'Alíquotas ICMS'!$E31:$L31,0)-2),H$4))*H31+(MAX(OFFSET('Alíquotas ICMS'!$E31,,MATCH(H31,'Alíquotas ICMS'!$E31:$L31,0)-2),H$4)-H$4)*G31)/(EOMONTH(H$4,0)-H$4),4)</f>
        <v>0.28999999999999998</v>
      </c>
      <c r="I62" s="174">
        <f ca="1">ROUND(((EOMONTH(I$4,0)-MAX(OFFSET('Alíquotas ICMS'!$E31,,MATCH(I31,'Alíquotas ICMS'!$E31:$L31,0)-2),I$4))*I31+(MAX(OFFSET('Alíquotas ICMS'!$E31,,MATCH(I31,'Alíquotas ICMS'!$E31:$L31,0)-2),I$4)-I$4)*H31)/(EOMONTH(I$4,0)-I$4),4)</f>
        <v>0.28999999999999998</v>
      </c>
      <c r="J62" s="174">
        <f ca="1">ROUND(((EOMONTH(J$4,0)-MAX(OFFSET('Alíquotas ICMS'!$E31,,MATCH(J31,'Alíquotas ICMS'!$E31:$L31,0)-2),J$4))*J31+(MAX(OFFSET('Alíquotas ICMS'!$E31,,MATCH(J31,'Alíquotas ICMS'!$E31:$L31,0)-2),J$4)-J$4)*I31)/(EOMONTH(J$4,0)-J$4),4)</f>
        <v>0.28999999999999998</v>
      </c>
      <c r="K62" s="174">
        <f ca="1">ROUND(((EOMONTH(K$4,0)-MAX(OFFSET('Alíquotas ICMS'!$E31,,MATCH(K31,'Alíquotas ICMS'!$E31:$L31,0)-2),K$4))*K31+(MAX(OFFSET('Alíquotas ICMS'!$E31,,MATCH(K31,'Alíquotas ICMS'!$E31:$L31,0)-2),K$4)-K$4)*J31)/(EOMONTH(K$4,0)-K$4),4)</f>
        <v>0.1837</v>
      </c>
      <c r="L62" s="174">
        <f ca="1">ROUND(((EOMONTH(L$4,0)-MAX(OFFSET('Alíquotas ICMS'!$E31,,MATCH(L31,'Alíquotas ICMS'!$E31:$L31,0)-2),L$4))*L31+(MAX(OFFSET('Alíquotas ICMS'!$E31,,MATCH(L31,'Alíquotas ICMS'!$E31:$L31,0)-2),L$4)-L$4)*K31)/(EOMONTH(L$4,0)-L$4),4)</f>
        <v>0.18</v>
      </c>
      <c r="M62" s="174">
        <f ca="1">ROUND(((EOMONTH(M$4,0)-MAX(OFFSET('Alíquotas ICMS'!$E31,,MATCH(M31,'Alíquotas ICMS'!$E31:$L31,0)-2),M$4))*M31+(MAX(OFFSET('Alíquotas ICMS'!$E31,,MATCH(M31,'Alíquotas ICMS'!$E31:$L31,0)-2),M$4)-M$4)*L31)/(EOMONTH(M$4,0)-M$4),4)</f>
        <v>0.18</v>
      </c>
      <c r="N62" s="174">
        <f ca="1">ROUND(((EOMONTH(N$4,0)-MAX(OFFSET('Alíquotas ICMS'!$E31,,MATCH(N31,'Alíquotas ICMS'!$E31:$L31,0)-2),N$4))*N31+(MAX(OFFSET('Alíquotas ICMS'!$E31,,MATCH(N31,'Alíquotas ICMS'!$E31:$L31,0)-2),N$4)-N$4)*M31)/(EOMONTH(N$4,0)-N$4),4)</f>
        <v>0.18</v>
      </c>
      <c r="O62" s="175">
        <f ca="1">ROUND(((EOMONTH(O$4,0)-MAX(OFFSET('Alíquotas ICMS'!$E31,,MATCH(O31,'Alíquotas ICMS'!$E31:$L31,0)-2),O$4))*O31+(MAX(OFFSET('Alíquotas ICMS'!$E31,,MATCH(O31,'Alíquotas ICMS'!$E31:$L31,0)-2),O$4)-O$4)*N31)/(EOMONTH(O$4,0)-O$4),4)</f>
        <v>0.18</v>
      </c>
    </row>
    <row r="63" spans="2:15" ht="15.75" thickBot="1" x14ac:dyDescent="0.3">
      <c r="B63" s="176" t="s">
        <v>101</v>
      </c>
      <c r="C63" s="177"/>
      <c r="D63" s="178">
        <v>0</v>
      </c>
      <c r="E63" s="178">
        <v>0</v>
      </c>
      <c r="F63" s="178">
        <v>0</v>
      </c>
      <c r="G63" s="178">
        <v>0</v>
      </c>
      <c r="H63" s="178">
        <v>0</v>
      </c>
      <c r="I63" s="178">
        <v>0</v>
      </c>
      <c r="J63" s="178">
        <v>0</v>
      </c>
      <c r="K63" s="178">
        <v>0</v>
      </c>
      <c r="L63" s="178">
        <v>0</v>
      </c>
      <c r="M63" s="178">
        <v>0</v>
      </c>
      <c r="N63" s="178">
        <v>0</v>
      </c>
      <c r="O63" s="179">
        <v>0</v>
      </c>
    </row>
  </sheetData>
  <sheetProtection sheet="1" objects="1" scenarios="1" insertColumns="0" insertRows="0" deleteColumns="0" deleteRows="0" sort="0"/>
  <dataValidations count="1">
    <dataValidation type="whole" allowBlank="1" showInputMessage="1" showErrorMessage="1" sqref="D2" xr:uid="{83D35C69-4101-4BF7-B2A6-30E06A52A020}">
      <formula1>2001</formula1>
      <formula2>2024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FCE6-E418-4326-BAC2-9A4B307E33D4}">
  <dimension ref="B2:O31"/>
  <sheetViews>
    <sheetView zoomScale="110" zoomScaleNormal="110" workbookViewId="0"/>
  </sheetViews>
  <sheetFormatPr defaultRowHeight="15" x14ac:dyDescent="0.25"/>
  <cols>
    <col min="1" max="1" width="1.85546875" customWidth="1"/>
    <col min="3" max="4" width="36" customWidth="1"/>
    <col min="5" max="12" width="13.7109375" customWidth="1"/>
    <col min="15" max="15" width="11.42578125" hidden="1" customWidth="1"/>
  </cols>
  <sheetData>
    <row r="2" spans="2:15" ht="18.75" x14ac:dyDescent="0.3">
      <c r="B2" s="130" t="s">
        <v>102</v>
      </c>
    </row>
    <row r="4" spans="2:15" ht="33.75" customHeight="1" x14ac:dyDescent="0.25">
      <c r="B4" s="129" t="s">
        <v>98</v>
      </c>
      <c r="C4" s="128" t="s">
        <v>103</v>
      </c>
      <c r="D4" s="128" t="s">
        <v>104</v>
      </c>
      <c r="E4" s="127" t="s">
        <v>105</v>
      </c>
      <c r="F4" s="127" t="s">
        <v>106</v>
      </c>
      <c r="G4" s="127" t="s">
        <v>107</v>
      </c>
      <c r="H4" s="127" t="s">
        <v>108</v>
      </c>
      <c r="I4" s="127" t="s">
        <v>109</v>
      </c>
      <c r="J4" s="127" t="s">
        <v>110</v>
      </c>
      <c r="K4" s="127" t="s">
        <v>111</v>
      </c>
      <c r="L4" s="126" t="s">
        <v>112</v>
      </c>
      <c r="O4" s="158" t="s">
        <v>64</v>
      </c>
    </row>
    <row r="5" spans="2:15" x14ac:dyDescent="0.25">
      <c r="B5" s="121" t="s">
        <v>113</v>
      </c>
      <c r="C5" s="120" t="s">
        <v>114</v>
      </c>
      <c r="D5" s="119" t="s">
        <v>115</v>
      </c>
      <c r="E5" s="118">
        <v>41639</v>
      </c>
      <c r="F5" s="116">
        <v>0.25</v>
      </c>
      <c r="G5" s="117">
        <v>44749</v>
      </c>
      <c r="H5" s="116">
        <v>0.17</v>
      </c>
      <c r="I5" s="117">
        <v>45017</v>
      </c>
      <c r="J5" s="116">
        <v>0.19</v>
      </c>
      <c r="K5" s="115" t="s">
        <v>66</v>
      </c>
      <c r="L5" s="114"/>
      <c r="O5" s="1">
        <v>0</v>
      </c>
    </row>
    <row r="6" spans="2:15" x14ac:dyDescent="0.25">
      <c r="B6" s="113" t="s">
        <v>116</v>
      </c>
      <c r="C6" s="112" t="s">
        <v>117</v>
      </c>
      <c r="D6" s="111" t="s">
        <v>118</v>
      </c>
      <c r="E6" s="110">
        <v>42380</v>
      </c>
      <c r="F6" s="109">
        <v>0.3</v>
      </c>
      <c r="G6" s="108">
        <v>44749</v>
      </c>
      <c r="H6" s="109">
        <v>0.19</v>
      </c>
      <c r="I6" s="108">
        <v>45017</v>
      </c>
      <c r="J6" s="109">
        <v>0.21</v>
      </c>
      <c r="K6" s="124" t="s">
        <v>66</v>
      </c>
      <c r="L6" s="123" t="s">
        <v>66</v>
      </c>
      <c r="O6" s="1">
        <v>0.1</v>
      </c>
    </row>
    <row r="7" spans="2:15" x14ac:dyDescent="0.25">
      <c r="B7" s="121" t="s">
        <v>119</v>
      </c>
      <c r="C7" s="120" t="s">
        <v>120</v>
      </c>
      <c r="D7" s="119" t="s">
        <v>121</v>
      </c>
      <c r="E7" s="118">
        <v>41365</v>
      </c>
      <c r="F7" s="116">
        <v>0.3</v>
      </c>
      <c r="G7" s="117">
        <v>44743</v>
      </c>
      <c r="H7" s="116">
        <v>0.18</v>
      </c>
      <c r="I7" s="117">
        <v>45014</v>
      </c>
      <c r="J7" s="116">
        <v>0.2</v>
      </c>
      <c r="K7" s="115" t="s">
        <v>66</v>
      </c>
      <c r="L7" s="114" t="s">
        <v>66</v>
      </c>
      <c r="O7" s="1">
        <v>0.25</v>
      </c>
    </row>
    <row r="8" spans="2:15" x14ac:dyDescent="0.25">
      <c r="B8" s="113" t="s">
        <v>122</v>
      </c>
      <c r="C8" s="112" t="s">
        <v>123</v>
      </c>
      <c r="D8" s="111" t="s">
        <v>124</v>
      </c>
      <c r="E8" s="110">
        <v>42459</v>
      </c>
      <c r="F8" s="109">
        <v>0.28999999999999998</v>
      </c>
      <c r="G8" s="108">
        <v>45383</v>
      </c>
      <c r="H8" s="109">
        <v>0.18</v>
      </c>
      <c r="I8" s="108" t="s">
        <v>66</v>
      </c>
      <c r="J8" s="108" t="s">
        <v>66</v>
      </c>
      <c r="K8" s="108" t="s">
        <v>66</v>
      </c>
      <c r="L8" s="107" t="s">
        <v>66</v>
      </c>
      <c r="O8" s="1">
        <v>0.27</v>
      </c>
    </row>
    <row r="9" spans="2:15" x14ac:dyDescent="0.25">
      <c r="B9" s="121" t="s">
        <v>125</v>
      </c>
      <c r="C9" s="120" t="s">
        <v>126</v>
      </c>
      <c r="D9" s="119" t="s">
        <v>127</v>
      </c>
      <c r="E9" s="118">
        <v>41271</v>
      </c>
      <c r="F9" s="116">
        <v>0.28000000000000003</v>
      </c>
      <c r="G9" s="117">
        <v>44735</v>
      </c>
      <c r="H9" s="116">
        <v>0.18</v>
      </c>
      <c r="I9" s="117">
        <v>45007</v>
      </c>
      <c r="J9" s="116">
        <v>0.19</v>
      </c>
      <c r="K9" s="117">
        <v>45329</v>
      </c>
      <c r="L9" s="125">
        <v>0.20499999999999999</v>
      </c>
      <c r="O9" s="1">
        <v>0.28000000000000003</v>
      </c>
    </row>
    <row r="10" spans="2:15" x14ac:dyDescent="0.25">
      <c r="B10" s="113" t="s">
        <v>128</v>
      </c>
      <c r="C10" s="112" t="s">
        <v>129</v>
      </c>
      <c r="D10" s="111" t="s">
        <v>130</v>
      </c>
      <c r="E10" s="110">
        <v>42430</v>
      </c>
      <c r="F10" s="109">
        <v>0.3</v>
      </c>
      <c r="G10" s="108">
        <v>44754</v>
      </c>
      <c r="H10" s="109">
        <v>0.18</v>
      </c>
      <c r="I10" s="108">
        <v>45292</v>
      </c>
      <c r="J10" s="109">
        <v>0.2</v>
      </c>
      <c r="K10" s="108" t="s">
        <v>66</v>
      </c>
      <c r="L10" s="107" t="s">
        <v>66</v>
      </c>
      <c r="O10" s="1">
        <v>0.28999999999999998</v>
      </c>
    </row>
    <row r="11" spans="2:15" x14ac:dyDescent="0.25">
      <c r="B11" s="121" t="s">
        <v>131</v>
      </c>
      <c r="C11" s="120" t="s">
        <v>132</v>
      </c>
      <c r="D11" s="119" t="s">
        <v>133</v>
      </c>
      <c r="E11" s="118">
        <v>44562</v>
      </c>
      <c r="F11" s="116">
        <v>0.28000000000000003</v>
      </c>
      <c r="G11" s="117">
        <v>44735</v>
      </c>
      <c r="H11" s="116">
        <v>0.18</v>
      </c>
      <c r="I11" s="117" t="s">
        <v>66</v>
      </c>
      <c r="J11" s="117" t="s">
        <v>66</v>
      </c>
      <c r="K11" s="117" t="s">
        <v>66</v>
      </c>
      <c r="L11" s="122" t="s">
        <v>66</v>
      </c>
      <c r="O11" s="1">
        <v>0.3</v>
      </c>
    </row>
    <row r="12" spans="2:15" x14ac:dyDescent="0.25">
      <c r="B12" s="113" t="s">
        <v>134</v>
      </c>
      <c r="C12" s="112" t="s">
        <v>135</v>
      </c>
      <c r="D12" s="111" t="s">
        <v>136</v>
      </c>
      <c r="E12" s="110">
        <v>37257</v>
      </c>
      <c r="F12" s="109">
        <v>0.25</v>
      </c>
      <c r="G12" s="108">
        <v>44743</v>
      </c>
      <c r="H12" s="109">
        <v>0.17</v>
      </c>
      <c r="I12" s="108" t="s">
        <v>66</v>
      </c>
      <c r="J12" s="108" t="s">
        <v>66</v>
      </c>
      <c r="K12" s="108" t="s">
        <v>66</v>
      </c>
      <c r="L12" s="107" t="s">
        <v>66</v>
      </c>
      <c r="O12" s="1">
        <v>0.32</v>
      </c>
    </row>
    <row r="13" spans="2:15" x14ac:dyDescent="0.25">
      <c r="B13" s="121" t="s">
        <v>137</v>
      </c>
      <c r="C13" s="120" t="s">
        <v>138</v>
      </c>
      <c r="D13" s="119" t="s">
        <v>139</v>
      </c>
      <c r="E13" s="118">
        <v>38808</v>
      </c>
      <c r="F13" s="116">
        <v>0.28999999999999998</v>
      </c>
      <c r="G13" s="117">
        <v>44735</v>
      </c>
      <c r="H13" s="116">
        <v>0.17</v>
      </c>
      <c r="I13" s="117" t="s">
        <v>66</v>
      </c>
      <c r="J13" s="117" t="s">
        <v>66</v>
      </c>
      <c r="K13" s="117" t="s">
        <v>66</v>
      </c>
      <c r="L13" s="122" t="s">
        <v>66</v>
      </c>
      <c r="O13" s="1">
        <v>0.35</v>
      </c>
    </row>
    <row r="14" spans="2:15" x14ac:dyDescent="0.25">
      <c r="B14" s="113" t="s">
        <v>140</v>
      </c>
      <c r="C14" s="112" t="s">
        <v>141</v>
      </c>
      <c r="D14" s="111" t="s">
        <v>142</v>
      </c>
      <c r="E14" s="110">
        <v>42809</v>
      </c>
      <c r="F14" s="109">
        <v>0.28999999999999998</v>
      </c>
      <c r="G14" s="108">
        <v>44755</v>
      </c>
      <c r="H14" s="109">
        <v>0.18</v>
      </c>
      <c r="I14" s="108">
        <v>45017</v>
      </c>
      <c r="J14" s="109">
        <v>0.2</v>
      </c>
      <c r="K14" s="124" t="s">
        <v>66</v>
      </c>
      <c r="L14" s="123" t="s">
        <v>66</v>
      </c>
    </row>
    <row r="15" spans="2:15" x14ac:dyDescent="0.25">
      <c r="B15" s="121" t="s">
        <v>143</v>
      </c>
      <c r="C15" s="120" t="s">
        <v>144</v>
      </c>
      <c r="D15" s="119" t="s">
        <v>145</v>
      </c>
      <c r="E15" s="118">
        <v>43831</v>
      </c>
      <c r="F15" s="116">
        <v>0.27</v>
      </c>
      <c r="G15" s="117">
        <v>44735</v>
      </c>
      <c r="H15" s="116">
        <v>0.18</v>
      </c>
      <c r="I15" s="117" t="s">
        <v>66</v>
      </c>
      <c r="J15" s="117" t="s">
        <v>66</v>
      </c>
      <c r="K15" s="117" t="s">
        <v>66</v>
      </c>
      <c r="L15" s="122" t="s">
        <v>66</v>
      </c>
    </row>
    <row r="16" spans="2:15" x14ac:dyDescent="0.25">
      <c r="B16" s="113" t="s">
        <v>146</v>
      </c>
      <c r="C16" s="112" t="s">
        <v>147</v>
      </c>
      <c r="D16" s="111" t="s">
        <v>148</v>
      </c>
      <c r="E16" s="110">
        <v>37622</v>
      </c>
      <c r="F16" s="109">
        <v>0.28999999999999998</v>
      </c>
      <c r="G16" s="108">
        <v>44743</v>
      </c>
      <c r="H16" s="109">
        <v>0.19</v>
      </c>
      <c r="I16" s="108" t="s">
        <v>66</v>
      </c>
      <c r="J16" s="108" t="s">
        <v>66</v>
      </c>
      <c r="K16" s="108" t="s">
        <v>66</v>
      </c>
      <c r="L16" s="107" t="s">
        <v>66</v>
      </c>
    </row>
    <row r="17" spans="2:12" x14ac:dyDescent="0.25">
      <c r="B17" s="121" t="s">
        <v>149</v>
      </c>
      <c r="C17" s="120" t="s">
        <v>150</v>
      </c>
      <c r="D17" s="119" t="s">
        <v>151</v>
      </c>
      <c r="E17" s="118">
        <v>44562</v>
      </c>
      <c r="F17" s="116">
        <v>0.19</v>
      </c>
      <c r="G17" s="117">
        <v>44562</v>
      </c>
      <c r="H17" s="116">
        <v>0.19</v>
      </c>
      <c r="I17" s="117" t="s">
        <v>66</v>
      </c>
      <c r="J17" s="117" t="s">
        <v>66</v>
      </c>
      <c r="K17" s="117" t="s">
        <v>66</v>
      </c>
      <c r="L17" s="122" t="s">
        <v>66</v>
      </c>
    </row>
    <row r="18" spans="2:12" x14ac:dyDescent="0.25">
      <c r="B18" s="113" t="s">
        <v>152</v>
      </c>
      <c r="C18" s="112" t="s">
        <v>153</v>
      </c>
      <c r="D18" s="111" t="s">
        <v>154</v>
      </c>
      <c r="E18" s="110">
        <v>40114</v>
      </c>
      <c r="F18" s="109">
        <v>0.3</v>
      </c>
      <c r="G18" s="108">
        <v>44746</v>
      </c>
      <c r="H18" s="109">
        <v>0.17</v>
      </c>
      <c r="I18" s="108">
        <v>45001</v>
      </c>
      <c r="J18" s="109">
        <v>0.19</v>
      </c>
      <c r="K18" s="124" t="s">
        <v>66</v>
      </c>
      <c r="L18" s="123" t="s">
        <v>66</v>
      </c>
    </row>
    <row r="19" spans="2:12" x14ac:dyDescent="0.25">
      <c r="B19" s="121" t="s">
        <v>155</v>
      </c>
      <c r="C19" s="120" t="s">
        <v>156</v>
      </c>
      <c r="D19" s="119" t="s">
        <v>157</v>
      </c>
      <c r="E19" s="118">
        <v>38353</v>
      </c>
      <c r="F19" s="116">
        <v>0.3</v>
      </c>
      <c r="G19" s="117">
        <v>44735</v>
      </c>
      <c r="H19" s="116">
        <v>0.2</v>
      </c>
      <c r="I19" s="117" t="s">
        <v>66</v>
      </c>
      <c r="J19" s="117" t="s">
        <v>66</v>
      </c>
      <c r="K19" s="117" t="s">
        <v>66</v>
      </c>
      <c r="L19" s="122" t="s">
        <v>66</v>
      </c>
    </row>
    <row r="20" spans="2:12" x14ac:dyDescent="0.25">
      <c r="B20" s="113" t="s">
        <v>158</v>
      </c>
      <c r="C20" s="112" t="s">
        <v>159</v>
      </c>
      <c r="D20" s="111" t="s">
        <v>160</v>
      </c>
      <c r="E20" s="110">
        <v>43556</v>
      </c>
      <c r="F20" s="109">
        <v>0.3</v>
      </c>
      <c r="G20" s="108">
        <v>44757</v>
      </c>
      <c r="H20" s="109">
        <v>0.18</v>
      </c>
      <c r="I20" s="108" t="s">
        <v>66</v>
      </c>
      <c r="J20" s="108" t="s">
        <v>66</v>
      </c>
      <c r="K20" s="108" t="s">
        <v>66</v>
      </c>
      <c r="L20" s="107" t="s">
        <v>66</v>
      </c>
    </row>
    <row r="21" spans="2:12" x14ac:dyDescent="0.25">
      <c r="B21" s="121" t="s">
        <v>161</v>
      </c>
      <c r="C21" s="120" t="s">
        <v>162</v>
      </c>
      <c r="D21" s="119" t="s">
        <v>163</v>
      </c>
      <c r="E21" s="118">
        <v>43135</v>
      </c>
      <c r="F21" s="116">
        <v>0.3</v>
      </c>
      <c r="G21" s="117">
        <v>44754</v>
      </c>
      <c r="H21" s="116">
        <v>0.18</v>
      </c>
      <c r="I21" s="117">
        <v>44993</v>
      </c>
      <c r="J21" s="116">
        <v>0.21</v>
      </c>
      <c r="K21" s="115" t="s">
        <v>66</v>
      </c>
      <c r="L21" s="114" t="s">
        <v>66</v>
      </c>
    </row>
    <row r="22" spans="2:12" x14ac:dyDescent="0.25">
      <c r="B22" s="113" t="s">
        <v>164</v>
      </c>
      <c r="C22" s="112" t="s">
        <v>165</v>
      </c>
      <c r="D22" s="111" t="s">
        <v>166</v>
      </c>
      <c r="E22" s="110">
        <v>39904</v>
      </c>
      <c r="F22" s="109">
        <v>0.28999999999999998</v>
      </c>
      <c r="G22" s="108">
        <v>44735</v>
      </c>
      <c r="H22" s="109">
        <v>0.18</v>
      </c>
      <c r="I22" s="108">
        <v>44998</v>
      </c>
      <c r="J22" s="109">
        <v>0.19</v>
      </c>
      <c r="K22" s="124" t="s">
        <v>66</v>
      </c>
      <c r="L22" s="123" t="s">
        <v>66</v>
      </c>
    </row>
    <row r="23" spans="2:12" x14ac:dyDescent="0.25">
      <c r="B23" s="121" t="s">
        <v>167</v>
      </c>
      <c r="C23" s="120" t="s">
        <v>168</v>
      </c>
      <c r="D23" s="119" t="s">
        <v>169</v>
      </c>
      <c r="E23" s="118">
        <v>42824</v>
      </c>
      <c r="F23" s="116">
        <v>0.32</v>
      </c>
      <c r="G23" s="117">
        <v>44743</v>
      </c>
      <c r="H23" s="116">
        <v>0.22</v>
      </c>
      <c r="I23" s="117" t="s">
        <v>66</v>
      </c>
      <c r="J23" s="117" t="s">
        <v>66</v>
      </c>
      <c r="K23" s="117" t="s">
        <v>66</v>
      </c>
      <c r="L23" s="122" t="s">
        <v>66</v>
      </c>
    </row>
    <row r="24" spans="2:12" x14ac:dyDescent="0.25">
      <c r="B24" s="113" t="s">
        <v>170</v>
      </c>
      <c r="C24" s="112" t="s">
        <v>171</v>
      </c>
      <c r="D24" s="111" t="s">
        <v>172</v>
      </c>
      <c r="E24" s="110">
        <v>42397</v>
      </c>
      <c r="F24" s="109">
        <v>0.3</v>
      </c>
      <c r="G24" s="108">
        <v>44735</v>
      </c>
      <c r="H24" s="109">
        <v>0.18</v>
      </c>
      <c r="I24" s="108">
        <v>45017</v>
      </c>
      <c r="J24" s="109">
        <v>0.2</v>
      </c>
      <c r="K24" s="124" t="s">
        <v>66</v>
      </c>
      <c r="L24" s="123" t="s">
        <v>66</v>
      </c>
    </row>
    <row r="25" spans="2:12" x14ac:dyDescent="0.25">
      <c r="B25" s="121" t="s">
        <v>173</v>
      </c>
      <c r="C25" s="120" t="s">
        <v>174</v>
      </c>
      <c r="D25" s="119" t="s">
        <v>175</v>
      </c>
      <c r="E25" s="118">
        <v>36526</v>
      </c>
      <c r="F25" s="116">
        <v>0.35</v>
      </c>
      <c r="G25" s="117">
        <v>44735</v>
      </c>
      <c r="H25" s="116">
        <v>0.17499999999999999</v>
      </c>
      <c r="I25" s="117">
        <v>45017</v>
      </c>
      <c r="J25" s="116">
        <v>0.2</v>
      </c>
      <c r="K25" s="115" t="s">
        <v>66</v>
      </c>
      <c r="L25" s="114" t="s">
        <v>66</v>
      </c>
    </row>
    <row r="26" spans="2:12" x14ac:dyDescent="0.25">
      <c r="B26" s="113" t="s">
        <v>176</v>
      </c>
      <c r="C26" s="112" t="s">
        <v>177</v>
      </c>
      <c r="D26" s="111" t="s">
        <v>178</v>
      </c>
      <c r="E26" s="110">
        <v>37165</v>
      </c>
      <c r="F26" s="109">
        <v>0.25</v>
      </c>
      <c r="G26" s="108">
        <v>44746</v>
      </c>
      <c r="H26" s="109">
        <v>0.17</v>
      </c>
      <c r="I26" s="108">
        <v>45015</v>
      </c>
      <c r="J26" s="109">
        <v>0.2</v>
      </c>
      <c r="K26" s="124" t="s">
        <v>66</v>
      </c>
      <c r="L26" s="123" t="s">
        <v>66</v>
      </c>
    </row>
    <row r="27" spans="2:12" x14ac:dyDescent="0.25">
      <c r="B27" s="121" t="s">
        <v>179</v>
      </c>
      <c r="C27" s="120" t="s">
        <v>180</v>
      </c>
      <c r="D27" s="119" t="s">
        <v>181</v>
      </c>
      <c r="E27" s="118">
        <v>44562</v>
      </c>
      <c r="F27" s="116">
        <v>0.25</v>
      </c>
      <c r="G27" s="117">
        <v>44735</v>
      </c>
      <c r="H27" s="116">
        <v>0.17</v>
      </c>
      <c r="I27" s="117" t="s">
        <v>66</v>
      </c>
      <c r="J27" s="117" t="s">
        <v>66</v>
      </c>
      <c r="K27" s="117" t="s">
        <v>66</v>
      </c>
      <c r="L27" s="122" t="s">
        <v>66</v>
      </c>
    </row>
    <row r="28" spans="2:12" x14ac:dyDescent="0.25">
      <c r="B28" s="113" t="s">
        <v>182</v>
      </c>
      <c r="C28" s="112" t="s">
        <v>183</v>
      </c>
      <c r="D28" s="111" t="s">
        <v>184</v>
      </c>
      <c r="E28" s="110">
        <v>42370</v>
      </c>
      <c r="F28" s="109">
        <v>0.25</v>
      </c>
      <c r="G28" s="108">
        <v>44743</v>
      </c>
      <c r="H28" s="109">
        <v>0.17</v>
      </c>
      <c r="I28" s="108" t="s">
        <v>66</v>
      </c>
      <c r="J28" s="108" t="s">
        <v>66</v>
      </c>
      <c r="K28" s="108" t="s">
        <v>66</v>
      </c>
      <c r="L28" s="107" t="s">
        <v>66</v>
      </c>
    </row>
    <row r="29" spans="2:12" x14ac:dyDescent="0.25">
      <c r="B29" s="121" t="s">
        <v>185</v>
      </c>
      <c r="C29" s="120" t="s">
        <v>186</v>
      </c>
      <c r="D29" s="119" t="s">
        <v>187</v>
      </c>
      <c r="E29" s="118">
        <v>42370</v>
      </c>
      <c r="F29" s="116">
        <v>0.3</v>
      </c>
      <c r="G29" s="117">
        <v>44747</v>
      </c>
      <c r="H29" s="116">
        <v>0.18</v>
      </c>
      <c r="I29" s="117">
        <v>45005</v>
      </c>
      <c r="J29" s="116">
        <v>0.22</v>
      </c>
      <c r="K29" s="115" t="s">
        <v>66</v>
      </c>
      <c r="L29" s="114" t="s">
        <v>66</v>
      </c>
    </row>
    <row r="30" spans="2:12" x14ac:dyDescent="0.25">
      <c r="B30" s="113" t="s">
        <v>188</v>
      </c>
      <c r="C30" s="112" t="s">
        <v>189</v>
      </c>
      <c r="D30" s="111" t="s">
        <v>190</v>
      </c>
      <c r="E30" s="110">
        <v>33599</v>
      </c>
      <c r="F30" s="109">
        <v>0.25</v>
      </c>
      <c r="G30" s="108">
        <v>44735</v>
      </c>
      <c r="H30" s="109">
        <v>0.18</v>
      </c>
      <c r="I30" s="108" t="s">
        <v>66</v>
      </c>
      <c r="J30" s="108" t="s">
        <v>66</v>
      </c>
      <c r="K30" s="108" t="s">
        <v>66</v>
      </c>
      <c r="L30" s="107" t="s">
        <v>66</v>
      </c>
    </row>
    <row r="31" spans="2:12" x14ac:dyDescent="0.25">
      <c r="B31" s="106" t="s">
        <v>191</v>
      </c>
      <c r="C31" s="105" t="s">
        <v>192</v>
      </c>
      <c r="D31" s="104" t="s">
        <v>193</v>
      </c>
      <c r="E31" s="103">
        <v>37257</v>
      </c>
      <c r="F31" s="101">
        <v>0.28999999999999998</v>
      </c>
      <c r="G31" s="102">
        <v>44775</v>
      </c>
      <c r="H31" s="101">
        <v>0.18</v>
      </c>
      <c r="I31" s="102">
        <v>45017</v>
      </c>
      <c r="J31" s="101">
        <v>0.2</v>
      </c>
      <c r="K31" s="100" t="s">
        <v>66</v>
      </c>
      <c r="L31" s="99" t="s">
        <v>66</v>
      </c>
    </row>
  </sheetData>
  <sheetProtection sheet="1" objects="1" scenarios="1" insertColumns="0" insertRows="0" deleteColumns="0" deleteRows="0" sort="0"/>
  <autoFilter ref="B4:L31" xr:uid="{6F83FCE6-E418-4326-BAC2-9A4B307E33D4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975429F5B8EC44A2D69C30416424C8" ma:contentTypeVersion="14" ma:contentTypeDescription="Crie um novo documento." ma:contentTypeScope="" ma:versionID="ca191e185c13edc698b076c9697fcea9">
  <xsd:schema xmlns:xsd="http://www.w3.org/2001/XMLSchema" xmlns:xs="http://www.w3.org/2001/XMLSchema" xmlns:p="http://schemas.microsoft.com/office/2006/metadata/properties" xmlns:ns2="d3181e9e-60a9-4320-97da-5f6f110584e0" xmlns:ns3="3ea8114a-1116-4b41-9957-e34d6f30ce0b" targetNamespace="http://schemas.microsoft.com/office/2006/metadata/properties" ma:root="true" ma:fieldsID="feb835cd4ab73ea55887b5de6f25d7a4" ns2:_="" ns3:_="">
    <xsd:import namespace="d3181e9e-60a9-4320-97da-5f6f110584e0"/>
    <xsd:import namespace="3ea8114a-1116-4b41-9957-e34d6f30ce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a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81e9e-60a9-4320-97da-5f6f110584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256847-c89a-490e-8bb5-77c5fe9a1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data" ma:index="18" nillable="true" ma:displayName="data" ma:default="[today]" ma:format="DateOnly" ma:internalName="data">
      <xsd:simpleType>
        <xsd:restriction base="dms:DateTim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8114a-1116-4b41-9957-e34d6f30ce0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3f15b19-0bdd-4c6f-a6b6-6dbb3514e5ef}" ma:internalName="TaxCatchAll" ma:showField="CatchAllData" ma:web="3ea8114a-1116-4b41-9957-e34d6f30ce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d3181e9e-60a9-4320-97da-5f6f110584e0">2023-11-01T16:34:33+00:00</data>
    <SharedWithUsers xmlns="3ea8114a-1116-4b41-9957-e34d6f30ce0b">
      <UserInfo>
        <DisplayName>Membros de Fiscalização Econômico-Tributário</DisplayName>
        <AccountId>8</AccountId>
        <AccountType/>
      </UserInfo>
    </SharedWithUsers>
    <lcf76f155ced4ddcb4097134ff3c332f xmlns="d3181e9e-60a9-4320-97da-5f6f110584e0">
      <Terms xmlns="http://schemas.microsoft.com/office/infopath/2007/PartnerControls"/>
    </lcf76f155ced4ddcb4097134ff3c332f>
    <TaxCatchAll xmlns="3ea8114a-1116-4b41-9957-e34d6f30ce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2D9E2F-CD49-43C5-9CCC-6302369DE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181e9e-60a9-4320-97da-5f6f110584e0"/>
    <ds:schemaRef ds:uri="3ea8114a-1116-4b41-9957-e34d6f30ce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1296E4-3DFC-4844-81DF-9F0209DBEAF9}">
  <ds:schemaRefs>
    <ds:schemaRef ds:uri="http://schemas.microsoft.com/office/2006/metadata/properties"/>
    <ds:schemaRef ds:uri="http://schemas.microsoft.com/office/infopath/2007/PartnerControls"/>
    <ds:schemaRef ds:uri="d3181e9e-60a9-4320-97da-5f6f110584e0"/>
    <ds:schemaRef ds:uri="3ea8114a-1116-4b41-9957-e34d6f30ce0b"/>
  </ds:schemaRefs>
</ds:datastoreItem>
</file>

<file path=customXml/itemProps3.xml><?xml version="1.0" encoding="utf-8"?>
<ds:datastoreItem xmlns:ds="http://schemas.openxmlformats.org/officeDocument/2006/customXml" ds:itemID="{15D8592C-3D0B-4C06-826A-9E35D0EDF0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Orientações</vt:lpstr>
      <vt:lpstr>Resumo</vt:lpstr>
      <vt:lpstr>Apuração</vt:lpstr>
      <vt:lpstr>ICMS</vt:lpstr>
      <vt:lpstr>Tabela mensal ICMS</vt:lpstr>
      <vt:lpstr>Alíquotas ICMS</vt:lpstr>
      <vt:lpstr>Alíquota</vt:lpstr>
      <vt:lpstr>Apuração!Area_de_impressao</vt:lpstr>
      <vt:lpstr>Apuração!Titulos_de_impressao</vt:lpstr>
      <vt:lpstr>ICMS!Titulos_de_impressao</vt:lpstr>
      <vt:lpstr>UF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Enilsio Pereira Luiz Filho</dc:creator>
  <cp:keywords/>
  <dc:description/>
  <cp:lastModifiedBy>Enilsio Pereira Luiz Filho</cp:lastModifiedBy>
  <cp:revision/>
  <dcterms:created xsi:type="dcterms:W3CDTF">2022-07-06T15:59:06Z</dcterms:created>
  <dcterms:modified xsi:type="dcterms:W3CDTF">2025-02-11T20:12:32Z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0x01010060975429F5B8EC44A2D69C30416424C8</vt:lpwstr>
  </property>
  <property fmtid="{D5CDD505-2E9C-101B-9397-08002B2CF9AE}" pid="3" name="MediaServiceImageTags">
    <vt:lpwstr/>
  </property>
</Properties>
</file>