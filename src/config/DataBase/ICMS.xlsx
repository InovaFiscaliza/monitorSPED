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ovaFiscaliza\monitorSPED\src\config\DataBase\"/>
    </mc:Choice>
  </mc:AlternateContent>
  <xr:revisionPtr revIDLastSave="0" documentId="13_ncr:1_{D976D70E-38DB-42AD-BBC2-2BC812C33BFC}" xr6:coauthVersionLast="47" xr6:coauthVersionMax="47" xr10:uidLastSave="{00000000-0000-0000-0000-000000000000}"/>
  <bookViews>
    <workbookView xWindow="-120" yWindow="-120" windowWidth="20730" windowHeight="11040" xr2:uid="{8741142A-51E8-462B-BC25-67EF684436FB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2" l="1"/>
  <c r="E43" i="2"/>
  <c r="E95" i="2"/>
  <c r="E94" i="2"/>
  <c r="E85" i="2"/>
  <c r="E84" i="2"/>
  <c r="E78" i="2"/>
  <c r="E77" i="2"/>
  <c r="E76" i="2"/>
  <c r="E75" i="2"/>
  <c r="E74" i="2"/>
  <c r="E73" i="2"/>
  <c r="E71" i="2"/>
  <c r="D71" i="2"/>
  <c r="E72" i="2"/>
  <c r="E69" i="2"/>
  <c r="E66" i="2" l="1"/>
  <c r="E58" i="2"/>
  <c r="E51" i="2"/>
  <c r="E54" i="2"/>
  <c r="E53" i="2"/>
  <c r="E52" i="2"/>
  <c r="E44" i="2"/>
  <c r="E45" i="2"/>
  <c r="E42" i="2"/>
  <c r="E10" i="2"/>
  <c r="E8" i="2"/>
  <c r="E7" i="2"/>
  <c r="E9" i="2"/>
  <c r="E32" i="2"/>
  <c r="E22" i="2" l="1"/>
  <c r="E21" i="2"/>
  <c r="E17" i="2"/>
  <c r="E6" i="2"/>
  <c r="E41" i="2"/>
  <c r="E40" i="2"/>
  <c r="E39" i="2"/>
</calcChain>
</file>

<file path=xl/sharedStrings.xml><?xml version="1.0" encoding="utf-8"?>
<sst xmlns="http://schemas.openxmlformats.org/spreadsheetml/2006/main" count="294" uniqueCount="104">
  <si>
    <t>UF</t>
  </si>
  <si>
    <t>AC</t>
  </si>
  <si>
    <t>AL</t>
  </si>
  <si>
    <t>AM</t>
  </si>
  <si>
    <t>AP</t>
  </si>
  <si>
    <t>BA</t>
  </si>
  <si>
    <t>CE</t>
  </si>
  <si>
    <t>DF</t>
  </si>
  <si>
    <t>ES</t>
  </si>
  <si>
    <t>GO</t>
  </si>
  <si>
    <t>MA</t>
  </si>
  <si>
    <t>MG</t>
  </si>
  <si>
    <t>MS</t>
  </si>
  <si>
    <t>MT</t>
  </si>
  <si>
    <t>PA</t>
  </si>
  <si>
    <t>PB</t>
  </si>
  <si>
    <t>PE</t>
  </si>
  <si>
    <t>PI</t>
  </si>
  <si>
    <t>PR</t>
  </si>
  <si>
    <t>RJ</t>
  </si>
  <si>
    <t>RN</t>
  </si>
  <si>
    <t>RO</t>
  </si>
  <si>
    <t>RR</t>
  </si>
  <si>
    <t>RS</t>
  </si>
  <si>
    <t>SC</t>
  </si>
  <si>
    <t>SE</t>
  </si>
  <si>
    <t>SP</t>
  </si>
  <si>
    <t>TO</t>
  </si>
  <si>
    <t>Normativo Geral (apenas alíquota base, sem FECP)</t>
  </si>
  <si>
    <t>Normativo de vigência da LC 194/2022</t>
  </si>
  <si>
    <t>Alíquota máxima</t>
  </si>
  <si>
    <t>Lei Complementar 55/97 art. 18, III, Item 7 - DECRETO Nº 008, DE 26 DE JANEIRO DE 1998</t>
  </si>
  <si>
    <t>Lei nº 5.900/96, art. 17, inciso I, d</t>
  </si>
  <si>
    <t xml:space="preserve">Lei Complementar 19/1997, art. 12, inciso I, e, f </t>
  </si>
  <si>
    <t>DECRETO Nº 2269 DE 24 DE JULHO DE 1998 - Anexo I RICMS/AP - art. 25, inciso III, alínea a</t>
  </si>
  <si>
    <t>Lei n° 7.014/1996 - art. 15, inciso V</t>
  </si>
  <si>
    <t>RICMS/CE - art. 45, inciso II, a</t>
  </si>
  <si>
    <t>Lei nº 18.154/22 e LC nº 287/22</t>
  </si>
  <si>
    <t>Lei nº 1.254/1996 - art. 18, inciso II, f</t>
  </si>
  <si>
    <t>Decreto nº 43.521/22</t>
  </si>
  <si>
    <t>RICMS/ES, art. 71, inciso IV</t>
  </si>
  <si>
    <t>Decreto nº 5164-R/22</t>
  </si>
  <si>
    <t>RCTE/GO, art. 20, §1º, V</t>
  </si>
  <si>
    <t>Nota GSE s/nº/2022 - DOE GO - Suplemento de 27.06.2022</t>
  </si>
  <si>
    <t>Lei nº 7.799/2002, art. 23, inciso III, alínea "h"</t>
  </si>
  <si>
    <t>Lei nº 11.792/2022</t>
  </si>
  <si>
    <t>Lei n° 6.763/1975, Item 10, tabela F</t>
  </si>
  <si>
    <t>Decreto nº 48.456/22</t>
  </si>
  <si>
    <t>Lei nº 1.810/1997, art. 41, inciso IV</t>
  </si>
  <si>
    <t>Decreto nº 15.990/22</t>
  </si>
  <si>
    <t>RICMS/MT, art. 95, inciso I, alínea "g"</t>
  </si>
  <si>
    <t>Mudança em Jan/22</t>
  </si>
  <si>
    <t>Lei n° 5.530/1989, art. 12, inciso I</t>
  </si>
  <si>
    <t>Decreto nº 2.476/22</t>
  </si>
  <si>
    <t>RICMS/PB, art. 13, inciso VI</t>
  </si>
  <si>
    <t>Decreto nº 42.656/22</t>
  </si>
  <si>
    <t>Lei nº 15.730/2016, art. 15, inciso I, alínea "a"</t>
  </si>
  <si>
    <t>Lei nº 17.898/22</t>
  </si>
  <si>
    <t>Lei 7.054/2017, art. 20, IV c/c Comunicado SEFAZ n° 06/2017</t>
  </si>
  <si>
    <t>Lei nº 7.846/22</t>
  </si>
  <si>
    <t>Lei n° 16.016/2008, art. 1º, inciso I</t>
  </si>
  <si>
    <t>Boletim Informativo nº 005/22</t>
  </si>
  <si>
    <t>Lei 7.508/2016, art. 1</t>
  </si>
  <si>
    <t>Decreto nº 48.145/22</t>
  </si>
  <si>
    <t>Lei nº 6.968/1996, art. 27, inciso I, alínea “e”</t>
  </si>
  <si>
    <t>Decreto nº 31.656/22</t>
  </si>
  <si>
    <t>Lei Estadual n° 688/1996, art. 27, "e"</t>
  </si>
  <si>
    <t>Lei 5.364/2022</t>
  </si>
  <si>
    <t>Decreto 4335-E/2001, art. 46, iniciso III, a</t>
  </si>
  <si>
    <t>Decreto nº 32.806-E/22</t>
  </si>
  <si>
    <t>RICMS/RS, art. 28, inciso I do Livro I</t>
  </si>
  <si>
    <t>Decreto nº 56.573/22 e Decreto nº 56.604/22</t>
  </si>
  <si>
    <t>RICMS/SC, art. 26, inciso II, a</t>
  </si>
  <si>
    <t>MP 255/2022</t>
  </si>
  <si>
    <t> Decreto n° 30.113/2015, art. 1º</t>
  </si>
  <si>
    <t>Decreto nº 112/2022</t>
  </si>
  <si>
    <t>RICMS/SP, art. 55, inciso I</t>
  </si>
  <si>
    <t>Informativo SPF  D.O.E.</t>
  </si>
  <si>
    <t>Lei nº 1.287/2001, art. 27, inciso I, a</t>
  </si>
  <si>
    <t>MP nº 21/22</t>
  </si>
  <si>
    <t>Vigência</t>
  </si>
  <si>
    <t>Decreto nº 21494, de 04/07/2022</t>
  </si>
  <si>
    <t>ADI 7.126, de 14/09/2022</t>
  </si>
  <si>
    <t>Decreto n° 45.973, de 05/07/2022</t>
  </si>
  <si>
    <t>Decreto nº 83.840, de 01/07/2022</t>
  </si>
  <si>
    <t>Decreto nº 11.084, de 07/07/2022</t>
  </si>
  <si>
    <t>Lei nº 1.810/1997, art. 41, inciso III, f</t>
  </si>
  <si>
    <t>ADI 7127</t>
  </si>
  <si>
    <t>LC 269/2022</t>
  </si>
  <si>
    <t>Lei 21308 de 13/12/2022</t>
  </si>
  <si>
    <t>Lei nº 21850 de 14/12/2023</t>
  </si>
  <si>
    <t>Lei 20554 de 05/05/2021</t>
  </si>
  <si>
    <t>Lei Complementar Nº 210 DE 21/07/2023</t>
  </si>
  <si>
    <t>LEI Nº 8.643 DE 04 DE DEZEMBRO DE 2019.</t>
  </si>
  <si>
    <t>Lei Complementar nº 217/2023</t>
  </si>
  <si>
    <t>Lei 10253/2023</t>
  </si>
  <si>
    <t>ADI 7077/ADI 7634</t>
  </si>
  <si>
    <t>Lei Nº 11999 DE 19/12/2024</t>
  </si>
  <si>
    <t xml:space="preserve">Lei nº 3894, de 23.08.16 </t>
  </si>
  <si>
    <t xml:space="preserve"> Lei 6287/2025</t>
  </si>
  <si>
    <t>Lei nº 3.796, de 26 de dezembro de 1996</t>
  </si>
  <si>
    <t>Lei nº 9.176, de 31 de março de 2023</t>
  </si>
  <si>
    <t>Lei nº 9.120, de 19 de dezembro de 2022</t>
  </si>
  <si>
    <t>Lei Nº 7326 DE 23/10/2023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</si>
</sst>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yy;@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1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6AD75-1AD9-4D20-9470-0EBAA4A856B5}">
  <dimension ref="A1:E103"/>
  <sheetViews>
    <sheetView tabSelected="1" workbookViewId="0">
      <selection activeCell="E74" sqref="E74"/>
    </sheetView>
  </sheetViews>
  <sheetFormatPr defaultRowHeight="15" x14ac:dyDescent="0.25"/>
  <cols>
    <col min="1" max="1" width="6" customWidth="1"/>
    <col min="2" max="2" width="82.140625" customWidth="1"/>
    <col min="3" max="3" width="51.85546875" bestFit="1" customWidth="1"/>
    <col min="4" max="4" width="19.140625" style="1" customWidth="1"/>
    <col min="5" max="5" width="16.5703125" customWidth="1"/>
  </cols>
  <sheetData>
    <row r="1" spans="1:5" x14ac:dyDescent="0.25">
      <c r="A1" t="s">
        <v>0</v>
      </c>
      <c r="B1" t="s">
        <v>28</v>
      </c>
      <c r="C1" t="s">
        <v>29</v>
      </c>
      <c r="D1" s="1" t="s">
        <v>80</v>
      </c>
      <c r="E1" t="s">
        <v>30</v>
      </c>
    </row>
    <row r="2" spans="1:5" x14ac:dyDescent="0.25">
      <c r="A2" t="s">
        <v>1</v>
      </c>
      <c r="B2" t="s">
        <v>31</v>
      </c>
      <c r="C2" t="s">
        <v>85</v>
      </c>
      <c r="D2" s="2">
        <v>41639</v>
      </c>
      <c r="E2" s="3">
        <v>0.25</v>
      </c>
    </row>
    <row r="3" spans="1:5" x14ac:dyDescent="0.25">
      <c r="A3" t="s">
        <v>1</v>
      </c>
      <c r="B3" t="s">
        <v>31</v>
      </c>
      <c r="C3" t="s">
        <v>85</v>
      </c>
      <c r="D3" s="2">
        <v>44749</v>
      </c>
      <c r="E3" s="3">
        <v>0.17</v>
      </c>
    </row>
    <row r="4" spans="1:5" x14ac:dyDescent="0.25">
      <c r="A4" t="s">
        <v>1</v>
      </c>
      <c r="B4" t="s">
        <v>31</v>
      </c>
      <c r="C4" t="s">
        <v>85</v>
      </c>
      <c r="D4" s="2">
        <v>45017</v>
      </c>
      <c r="E4" s="3">
        <v>0.19</v>
      </c>
    </row>
    <row r="5" spans="1:5" x14ac:dyDescent="0.25">
      <c r="A5" t="s">
        <v>2</v>
      </c>
      <c r="B5" t="s">
        <v>32</v>
      </c>
      <c r="C5" t="s">
        <v>84</v>
      </c>
      <c r="D5" s="2">
        <v>42380</v>
      </c>
      <c r="E5" s="3">
        <v>0.3</v>
      </c>
    </row>
    <row r="6" spans="1:5" x14ac:dyDescent="0.25">
      <c r="A6" t="s">
        <v>2</v>
      </c>
      <c r="B6" t="s">
        <v>32</v>
      </c>
      <c r="C6" t="s">
        <v>84</v>
      </c>
      <c r="D6" s="2">
        <v>44749</v>
      </c>
      <c r="E6" s="3">
        <f>17%+2%</f>
        <v>0.19</v>
      </c>
    </row>
    <row r="7" spans="1:5" x14ac:dyDescent="0.25">
      <c r="A7" t="s">
        <v>2</v>
      </c>
      <c r="B7" t="s">
        <v>32</v>
      </c>
      <c r="C7" t="s">
        <v>84</v>
      </c>
      <c r="D7" s="2">
        <v>45017</v>
      </c>
      <c r="E7" s="3">
        <f>19%+2%</f>
        <v>0.21</v>
      </c>
    </row>
    <row r="8" spans="1:5" x14ac:dyDescent="0.25">
      <c r="A8" t="s">
        <v>2</v>
      </c>
      <c r="B8" t="s">
        <v>32</v>
      </c>
      <c r="C8" t="s">
        <v>84</v>
      </c>
      <c r="D8" s="2">
        <v>45292</v>
      </c>
      <c r="E8" s="3">
        <f>19%+1%</f>
        <v>0.2</v>
      </c>
    </row>
    <row r="9" spans="1:5" x14ac:dyDescent="0.25">
      <c r="A9" t="s">
        <v>2</v>
      </c>
      <c r="B9" t="s">
        <v>32</v>
      </c>
      <c r="C9" t="s">
        <v>84</v>
      </c>
      <c r="D9" s="2">
        <v>45653</v>
      </c>
      <c r="E9" s="3">
        <f>19%</f>
        <v>0.19</v>
      </c>
    </row>
    <row r="10" spans="1:5" x14ac:dyDescent="0.25">
      <c r="A10" t="s">
        <v>2</v>
      </c>
      <c r="B10" t="s">
        <v>32</v>
      </c>
      <c r="C10" t="s">
        <v>84</v>
      </c>
      <c r="D10" s="2">
        <v>46113</v>
      </c>
      <c r="E10" s="3">
        <f>20.5%</f>
        <v>0.20499999999999999</v>
      </c>
    </row>
    <row r="11" spans="1:5" x14ac:dyDescent="0.25">
      <c r="A11" t="s">
        <v>2</v>
      </c>
      <c r="B11" t="s">
        <v>32</v>
      </c>
      <c r="C11" t="s">
        <v>84</v>
      </c>
      <c r="D11" s="2">
        <v>46388</v>
      </c>
      <c r="E11" s="4">
        <v>0.20499999999999999</v>
      </c>
    </row>
    <row r="12" spans="1:5" x14ac:dyDescent="0.25">
      <c r="A12" t="s">
        <v>3</v>
      </c>
      <c r="B12" t="s">
        <v>33</v>
      </c>
      <c r="C12" t="s">
        <v>83</v>
      </c>
      <c r="D12" s="2">
        <v>41365</v>
      </c>
      <c r="E12" s="3">
        <v>0.3</v>
      </c>
    </row>
    <row r="13" spans="1:5" x14ac:dyDescent="0.25">
      <c r="A13" t="s">
        <v>3</v>
      </c>
      <c r="B13" t="s">
        <v>33</v>
      </c>
      <c r="C13" t="s">
        <v>83</v>
      </c>
      <c r="D13" s="2">
        <v>44743</v>
      </c>
      <c r="E13" s="3">
        <v>0.18</v>
      </c>
    </row>
    <row r="14" spans="1:5" x14ac:dyDescent="0.25">
      <c r="A14" t="s">
        <v>3</v>
      </c>
      <c r="B14" t="s">
        <v>33</v>
      </c>
      <c r="C14" t="s">
        <v>83</v>
      </c>
      <c r="D14" s="2">
        <v>45014</v>
      </c>
      <c r="E14" s="3">
        <v>0.2</v>
      </c>
    </row>
    <row r="15" spans="1:5" x14ac:dyDescent="0.25">
      <c r="A15" t="s">
        <v>4</v>
      </c>
      <c r="B15" t="s">
        <v>34</v>
      </c>
      <c r="C15" t="s">
        <v>82</v>
      </c>
      <c r="D15" s="2">
        <v>42459</v>
      </c>
      <c r="E15" s="3">
        <v>0.28999999999999998</v>
      </c>
    </row>
    <row r="16" spans="1:5" x14ac:dyDescent="0.25">
      <c r="A16" t="s">
        <v>4</v>
      </c>
      <c r="B16" t="s">
        <v>34</v>
      </c>
      <c r="C16" t="s">
        <v>82</v>
      </c>
      <c r="D16" s="2">
        <v>45383</v>
      </c>
      <c r="E16" s="3">
        <v>0.18</v>
      </c>
    </row>
    <row r="17" spans="1:5" x14ac:dyDescent="0.25">
      <c r="A17" t="s">
        <v>5</v>
      </c>
      <c r="B17" t="s">
        <v>35</v>
      </c>
      <c r="C17" t="s">
        <v>81</v>
      </c>
      <c r="D17" s="2">
        <v>41271</v>
      </c>
      <c r="E17" s="3">
        <f>26%+2%</f>
        <v>0.28000000000000003</v>
      </c>
    </row>
    <row r="18" spans="1:5" x14ac:dyDescent="0.25">
      <c r="A18" t="s">
        <v>5</v>
      </c>
      <c r="B18" t="s">
        <v>35</v>
      </c>
      <c r="C18" t="s">
        <v>81</v>
      </c>
      <c r="D18" s="2">
        <v>44735</v>
      </c>
      <c r="E18" s="3">
        <v>0.18</v>
      </c>
    </row>
    <row r="19" spans="1:5" x14ac:dyDescent="0.25">
      <c r="A19" t="s">
        <v>5</v>
      </c>
      <c r="B19" t="s">
        <v>35</v>
      </c>
      <c r="C19" t="s">
        <v>81</v>
      </c>
      <c r="D19" s="2">
        <v>45007</v>
      </c>
      <c r="E19" s="3">
        <v>0.19</v>
      </c>
    </row>
    <row r="20" spans="1:5" x14ac:dyDescent="0.25">
      <c r="A20" t="s">
        <v>5</v>
      </c>
      <c r="B20" t="s">
        <v>35</v>
      </c>
      <c r="C20" t="s">
        <v>81</v>
      </c>
      <c r="D20" s="2">
        <v>45329</v>
      </c>
      <c r="E20" s="3">
        <v>0.20499999999999999</v>
      </c>
    </row>
    <row r="21" spans="1:5" x14ac:dyDescent="0.25">
      <c r="A21" t="s">
        <v>6</v>
      </c>
      <c r="B21" t="s">
        <v>36</v>
      </c>
      <c r="C21" t="s">
        <v>37</v>
      </c>
      <c r="D21" s="2">
        <v>42430</v>
      </c>
      <c r="E21" s="3">
        <f>28%+2%</f>
        <v>0.30000000000000004</v>
      </c>
    </row>
    <row r="22" spans="1:5" x14ac:dyDescent="0.25">
      <c r="A22" t="s">
        <v>6</v>
      </c>
      <c r="B22" t="s">
        <v>36</v>
      </c>
      <c r="C22" t="s">
        <v>37</v>
      </c>
      <c r="D22" s="2">
        <v>44754</v>
      </c>
      <c r="E22" s="3">
        <f>18%+2%</f>
        <v>0.19999999999999998</v>
      </c>
    </row>
    <row r="23" spans="1:5" x14ac:dyDescent="0.25">
      <c r="A23" t="s">
        <v>6</v>
      </c>
      <c r="B23" t="s">
        <v>36</v>
      </c>
      <c r="C23" t="s">
        <v>37</v>
      </c>
      <c r="D23" s="2">
        <v>45292</v>
      </c>
      <c r="E23" s="3">
        <v>0.2</v>
      </c>
    </row>
    <row r="24" spans="1:5" x14ac:dyDescent="0.25">
      <c r="A24" t="s">
        <v>7</v>
      </c>
      <c r="B24" t="s">
        <v>38</v>
      </c>
      <c r="C24" t="s">
        <v>39</v>
      </c>
      <c r="D24" s="2">
        <v>44562</v>
      </c>
      <c r="E24" s="3">
        <v>0.28000000000000003</v>
      </c>
    </row>
    <row r="25" spans="1:5" x14ac:dyDescent="0.25">
      <c r="A25" t="s">
        <v>7</v>
      </c>
      <c r="B25" t="s">
        <v>38</v>
      </c>
      <c r="C25" t="s">
        <v>39</v>
      </c>
      <c r="D25" s="2">
        <v>44735</v>
      </c>
      <c r="E25" s="3">
        <v>0.18</v>
      </c>
    </row>
    <row r="26" spans="1:5" x14ac:dyDescent="0.25">
      <c r="A26" t="s">
        <v>7</v>
      </c>
      <c r="B26" t="s">
        <v>103</v>
      </c>
      <c r="D26" s="2">
        <v>45313</v>
      </c>
      <c r="E26" s="3">
        <v>0.2</v>
      </c>
    </row>
    <row r="27" spans="1:5" x14ac:dyDescent="0.25">
      <c r="A27" t="s">
        <v>8</v>
      </c>
      <c r="B27" t="s">
        <v>40</v>
      </c>
      <c r="C27" t="s">
        <v>41</v>
      </c>
      <c r="D27" s="2">
        <v>37257</v>
      </c>
      <c r="E27" s="4">
        <v>0.25</v>
      </c>
    </row>
    <row r="28" spans="1:5" x14ac:dyDescent="0.25">
      <c r="A28" t="s">
        <v>8</v>
      </c>
      <c r="B28" t="s">
        <v>40</v>
      </c>
      <c r="C28" t="s">
        <v>41</v>
      </c>
      <c r="D28" s="2">
        <v>44743</v>
      </c>
      <c r="E28" s="3">
        <v>0.17</v>
      </c>
    </row>
    <row r="29" spans="1:5" x14ac:dyDescent="0.25">
      <c r="A29" t="s">
        <v>9</v>
      </c>
      <c r="B29" t="s">
        <v>42</v>
      </c>
      <c r="C29" t="s">
        <v>43</v>
      </c>
      <c r="D29" s="2">
        <v>38808</v>
      </c>
      <c r="E29" s="3">
        <v>0.28999999999999998</v>
      </c>
    </row>
    <row r="30" spans="1:5" x14ac:dyDescent="0.25">
      <c r="A30" t="s">
        <v>9</v>
      </c>
      <c r="B30" t="s">
        <v>42</v>
      </c>
      <c r="C30" t="s">
        <v>43</v>
      </c>
      <c r="D30" s="2">
        <v>44735</v>
      </c>
      <c r="E30" s="3">
        <v>0.17</v>
      </c>
    </row>
    <row r="31" spans="1:5" x14ac:dyDescent="0.25">
      <c r="A31" t="s">
        <v>9</v>
      </c>
      <c r="B31" t="s">
        <v>42</v>
      </c>
      <c r="C31" t="s">
        <v>43</v>
      </c>
      <c r="D31" s="2">
        <v>45383</v>
      </c>
      <c r="E31" s="3">
        <v>0.19</v>
      </c>
    </row>
    <row r="32" spans="1:5" x14ac:dyDescent="0.25">
      <c r="A32" t="s">
        <v>10</v>
      </c>
      <c r="B32" t="s">
        <v>44</v>
      </c>
      <c r="C32" t="s">
        <v>45</v>
      </c>
      <c r="D32" s="2">
        <v>42809</v>
      </c>
      <c r="E32" s="3">
        <f>27%+2%</f>
        <v>0.29000000000000004</v>
      </c>
    </row>
    <row r="33" spans="1:5" x14ac:dyDescent="0.25">
      <c r="A33" t="s">
        <v>10</v>
      </c>
      <c r="B33" t="s">
        <v>44</v>
      </c>
      <c r="C33" t="s">
        <v>45</v>
      </c>
      <c r="D33" s="2">
        <v>44755</v>
      </c>
      <c r="E33" s="3">
        <v>0.18</v>
      </c>
    </row>
    <row r="34" spans="1:5" x14ac:dyDescent="0.25">
      <c r="A34" t="s">
        <v>10</v>
      </c>
      <c r="B34" t="s">
        <v>44</v>
      </c>
      <c r="C34" t="s">
        <v>45</v>
      </c>
      <c r="D34" s="2">
        <v>45017</v>
      </c>
      <c r="E34" s="3">
        <v>0.2</v>
      </c>
    </row>
    <row r="35" spans="1:5" x14ac:dyDescent="0.25">
      <c r="A35" t="s">
        <v>10</v>
      </c>
      <c r="B35" t="s">
        <v>44</v>
      </c>
      <c r="C35" t="s">
        <v>45</v>
      </c>
      <c r="D35" s="2">
        <v>45341</v>
      </c>
      <c r="E35" s="3">
        <v>0.22</v>
      </c>
    </row>
    <row r="36" spans="1:5" x14ac:dyDescent="0.25">
      <c r="A36" t="s">
        <v>10</v>
      </c>
      <c r="B36" t="s">
        <v>44</v>
      </c>
      <c r="C36" t="s">
        <v>45</v>
      </c>
      <c r="D36" s="2">
        <v>45711</v>
      </c>
      <c r="E36" s="3">
        <v>0.23</v>
      </c>
    </row>
    <row r="37" spans="1:5" x14ac:dyDescent="0.25">
      <c r="A37" t="s">
        <v>11</v>
      </c>
      <c r="B37" t="s">
        <v>46</v>
      </c>
      <c r="C37" t="s">
        <v>47</v>
      </c>
      <c r="D37" s="2">
        <v>43831</v>
      </c>
      <c r="E37" s="3">
        <v>0.27</v>
      </c>
    </row>
    <row r="38" spans="1:5" x14ac:dyDescent="0.25">
      <c r="A38" t="s">
        <v>11</v>
      </c>
      <c r="B38" t="s">
        <v>46</v>
      </c>
      <c r="C38" t="s">
        <v>47</v>
      </c>
      <c r="D38" s="2">
        <v>44735</v>
      </c>
      <c r="E38" s="3">
        <v>0.18</v>
      </c>
    </row>
    <row r="39" spans="1:5" x14ac:dyDescent="0.25">
      <c r="A39" t="s">
        <v>12</v>
      </c>
      <c r="B39" t="s">
        <v>48</v>
      </c>
      <c r="C39" t="s">
        <v>49</v>
      </c>
      <c r="D39" s="2">
        <v>37622</v>
      </c>
      <c r="E39" s="3">
        <f>27%+2%</f>
        <v>0.29000000000000004</v>
      </c>
    </row>
    <row r="40" spans="1:5" x14ac:dyDescent="0.25">
      <c r="A40" t="s">
        <v>12</v>
      </c>
      <c r="B40" t="s">
        <v>48</v>
      </c>
      <c r="C40" t="s">
        <v>49</v>
      </c>
      <c r="D40" s="2">
        <v>44743</v>
      </c>
      <c r="E40" s="3">
        <f>17%+2%</f>
        <v>0.19</v>
      </c>
    </row>
    <row r="41" spans="1:5" x14ac:dyDescent="0.25">
      <c r="A41" t="s">
        <v>12</v>
      </c>
      <c r="B41" t="s">
        <v>86</v>
      </c>
      <c r="C41" t="s">
        <v>49</v>
      </c>
      <c r="D41" s="2">
        <v>44927</v>
      </c>
      <c r="E41" s="4">
        <f>27%+2%</f>
        <v>0.29000000000000004</v>
      </c>
    </row>
    <row r="42" spans="1:5" x14ac:dyDescent="0.25">
      <c r="A42" t="s">
        <v>12</v>
      </c>
      <c r="B42" t="s">
        <v>48</v>
      </c>
      <c r="C42" t="s">
        <v>49</v>
      </c>
      <c r="D42" s="2">
        <v>45292</v>
      </c>
      <c r="E42" s="3">
        <f>17%+2%</f>
        <v>0.19</v>
      </c>
    </row>
    <row r="43" spans="1:5" x14ac:dyDescent="0.25">
      <c r="A43" t="s">
        <v>12</v>
      </c>
      <c r="B43" t="s">
        <v>96</v>
      </c>
      <c r="D43" s="2">
        <v>46388</v>
      </c>
      <c r="E43" s="3">
        <f>17%</f>
        <v>0.17</v>
      </c>
    </row>
    <row r="44" spans="1:5" x14ac:dyDescent="0.25">
      <c r="A44" t="s">
        <v>13</v>
      </c>
      <c r="B44" t="s">
        <v>50</v>
      </c>
      <c r="D44" s="2">
        <v>40909</v>
      </c>
      <c r="E44" s="3">
        <f>30%+2%</f>
        <v>0.32</v>
      </c>
    </row>
    <row r="45" spans="1:5" x14ac:dyDescent="0.25">
      <c r="A45" t="s">
        <v>13</v>
      </c>
      <c r="B45" t="s">
        <v>50</v>
      </c>
      <c r="C45" t="s">
        <v>51</v>
      </c>
      <c r="D45" s="2">
        <v>44562</v>
      </c>
      <c r="E45" s="3">
        <f>17%+2%</f>
        <v>0.19</v>
      </c>
    </row>
    <row r="46" spans="1:5" x14ac:dyDescent="0.25">
      <c r="A46" t="s">
        <v>13</v>
      </c>
      <c r="B46" t="s">
        <v>96</v>
      </c>
      <c r="D46" s="2">
        <v>46388</v>
      </c>
      <c r="E46" s="3">
        <v>0.17</v>
      </c>
    </row>
    <row r="47" spans="1:5" x14ac:dyDescent="0.25">
      <c r="A47" t="s">
        <v>14</v>
      </c>
      <c r="B47" t="s">
        <v>52</v>
      </c>
      <c r="C47" t="s">
        <v>53</v>
      </c>
      <c r="D47" s="2">
        <v>40114</v>
      </c>
      <c r="E47" s="3">
        <v>0.3</v>
      </c>
    </row>
    <row r="48" spans="1:5" x14ac:dyDescent="0.25">
      <c r="A48" t="s">
        <v>14</v>
      </c>
      <c r="B48" t="s">
        <v>52</v>
      </c>
      <c r="C48" t="s">
        <v>53</v>
      </c>
      <c r="D48" s="2">
        <v>44746</v>
      </c>
      <c r="E48" s="3">
        <v>0.17</v>
      </c>
    </row>
    <row r="49" spans="1:5" x14ac:dyDescent="0.25">
      <c r="A49" t="s">
        <v>14</v>
      </c>
      <c r="B49" t="s">
        <v>52</v>
      </c>
      <c r="C49" t="s">
        <v>53</v>
      </c>
      <c r="D49" s="2">
        <v>45001</v>
      </c>
      <c r="E49" s="3">
        <v>0.19</v>
      </c>
    </row>
    <row r="50" spans="1:5" x14ac:dyDescent="0.25">
      <c r="A50" t="s">
        <v>15</v>
      </c>
      <c r="B50" t="s">
        <v>54</v>
      </c>
      <c r="C50" t="s">
        <v>55</v>
      </c>
      <c r="D50" s="2">
        <v>37741</v>
      </c>
      <c r="E50" s="3">
        <v>0.25</v>
      </c>
    </row>
    <row r="51" spans="1:5" x14ac:dyDescent="0.25">
      <c r="A51" t="s">
        <v>15</v>
      </c>
      <c r="B51" t="s">
        <v>54</v>
      </c>
      <c r="C51" t="s">
        <v>55</v>
      </c>
      <c r="D51" s="2">
        <v>38353</v>
      </c>
      <c r="E51" s="3">
        <f>28%+2%</f>
        <v>0.30000000000000004</v>
      </c>
    </row>
    <row r="52" spans="1:5" x14ac:dyDescent="0.25">
      <c r="A52" t="s">
        <v>15</v>
      </c>
      <c r="B52" t="s">
        <v>54</v>
      </c>
      <c r="C52" t="s">
        <v>55</v>
      </c>
      <c r="D52" s="2">
        <v>44735</v>
      </c>
      <c r="E52" s="3">
        <f>18%+2%</f>
        <v>0.19999999999999998</v>
      </c>
    </row>
    <row r="53" spans="1:5" x14ac:dyDescent="0.25">
      <c r="A53" t="s">
        <v>15</v>
      </c>
      <c r="B53" t="s">
        <v>54</v>
      </c>
      <c r="C53" t="s">
        <v>55</v>
      </c>
      <c r="D53" s="2">
        <v>45292</v>
      </c>
      <c r="E53" s="3">
        <f>20%+2%</f>
        <v>0.22</v>
      </c>
    </row>
    <row r="54" spans="1:5" x14ac:dyDescent="0.25">
      <c r="A54" t="s">
        <v>15</v>
      </c>
      <c r="B54" t="s">
        <v>54</v>
      </c>
      <c r="C54" t="s">
        <v>55</v>
      </c>
      <c r="D54" s="2">
        <v>46388</v>
      </c>
      <c r="E54" s="3">
        <f>20%</f>
        <v>0.2</v>
      </c>
    </row>
    <row r="55" spans="1:5" x14ac:dyDescent="0.25">
      <c r="A55" t="s">
        <v>16</v>
      </c>
      <c r="B55" t="s">
        <v>56</v>
      </c>
      <c r="C55" t="s">
        <v>57</v>
      </c>
      <c r="D55" s="2">
        <v>43556</v>
      </c>
      <c r="E55" s="3">
        <v>0.3</v>
      </c>
    </row>
    <row r="56" spans="1:5" x14ac:dyDescent="0.25">
      <c r="A56" t="s">
        <v>16</v>
      </c>
      <c r="B56" t="s">
        <v>56</v>
      </c>
      <c r="C56" t="s">
        <v>57</v>
      </c>
      <c r="D56" s="2">
        <v>44757</v>
      </c>
      <c r="E56" s="3">
        <v>0.18</v>
      </c>
    </row>
    <row r="57" spans="1:5" x14ac:dyDescent="0.25">
      <c r="A57" t="s">
        <v>16</v>
      </c>
      <c r="B57" t="s">
        <v>56</v>
      </c>
      <c r="C57" t="s">
        <v>57</v>
      </c>
      <c r="D57" s="2">
        <v>45292</v>
      </c>
      <c r="E57" s="3">
        <v>0.20499999999999999</v>
      </c>
    </row>
    <row r="58" spans="1:5" x14ac:dyDescent="0.25">
      <c r="A58" t="s">
        <v>17</v>
      </c>
      <c r="B58" t="s">
        <v>58</v>
      </c>
      <c r="C58" t="s">
        <v>59</v>
      </c>
      <c r="D58" s="2">
        <v>43135</v>
      </c>
      <c r="E58" s="3">
        <f>30%+1%</f>
        <v>0.31</v>
      </c>
    </row>
    <row r="59" spans="1:5" x14ac:dyDescent="0.25">
      <c r="A59" t="s">
        <v>17</v>
      </c>
      <c r="B59" t="s">
        <v>58</v>
      </c>
      <c r="C59" t="s">
        <v>59</v>
      </c>
      <c r="D59" s="2">
        <v>44754</v>
      </c>
      <c r="E59" s="3">
        <v>0.18</v>
      </c>
    </row>
    <row r="60" spans="1:5" x14ac:dyDescent="0.25">
      <c r="A60" t="s">
        <v>17</v>
      </c>
      <c r="B60" t="s">
        <v>58</v>
      </c>
      <c r="C60" t="s">
        <v>59</v>
      </c>
      <c r="D60" s="2">
        <v>44902</v>
      </c>
      <c r="E60" s="3">
        <v>0.18</v>
      </c>
    </row>
    <row r="61" spans="1:5" x14ac:dyDescent="0.25">
      <c r="A61" t="s">
        <v>17</v>
      </c>
      <c r="B61" t="s">
        <v>58</v>
      </c>
      <c r="C61" t="s">
        <v>88</v>
      </c>
      <c r="D61" s="2">
        <v>44993</v>
      </c>
      <c r="E61" s="3">
        <v>0.21</v>
      </c>
    </row>
    <row r="62" spans="1:5" x14ac:dyDescent="0.25">
      <c r="A62" t="s">
        <v>17</v>
      </c>
      <c r="B62" t="s">
        <v>58</v>
      </c>
      <c r="C62" t="s">
        <v>87</v>
      </c>
      <c r="D62" s="2">
        <v>44950</v>
      </c>
      <c r="E62" s="3">
        <v>0.27</v>
      </c>
    </row>
    <row r="63" spans="1:5" x14ac:dyDescent="0.25">
      <c r="A63" t="s">
        <v>17</v>
      </c>
      <c r="B63" t="s">
        <v>58</v>
      </c>
      <c r="C63" t="s">
        <v>87</v>
      </c>
      <c r="D63" s="2">
        <v>45292</v>
      </c>
      <c r="E63" s="3">
        <v>0.21</v>
      </c>
    </row>
    <row r="64" spans="1:5" x14ac:dyDescent="0.25">
      <c r="A64" t="s">
        <v>17</v>
      </c>
      <c r="B64" t="s">
        <v>58</v>
      </c>
      <c r="C64" t="s">
        <v>59</v>
      </c>
      <c r="D64" s="2">
        <v>45748</v>
      </c>
      <c r="E64" s="3">
        <v>0.22500000000000001</v>
      </c>
    </row>
    <row r="65" spans="1:5" x14ac:dyDescent="0.25">
      <c r="A65" t="s">
        <v>18</v>
      </c>
      <c r="B65" t="s">
        <v>60</v>
      </c>
      <c r="D65" s="2">
        <v>39904</v>
      </c>
      <c r="E65" s="3">
        <v>0.27</v>
      </c>
    </row>
    <row r="66" spans="1:5" x14ac:dyDescent="0.25">
      <c r="A66" t="s">
        <v>18</v>
      </c>
      <c r="B66" t="s">
        <v>91</v>
      </c>
      <c r="D66" s="2">
        <v>44413</v>
      </c>
      <c r="E66" s="3">
        <f>27%+2%</f>
        <v>0.29000000000000004</v>
      </c>
    </row>
    <row r="67" spans="1:5" x14ac:dyDescent="0.25">
      <c r="A67" t="s">
        <v>18</v>
      </c>
      <c r="B67" t="s">
        <v>89</v>
      </c>
      <c r="C67" t="s">
        <v>61</v>
      </c>
      <c r="D67" s="2">
        <v>44735</v>
      </c>
      <c r="E67" s="3">
        <v>0.18</v>
      </c>
    </row>
    <row r="68" spans="1:5" x14ac:dyDescent="0.25">
      <c r="A68" t="s">
        <v>18</v>
      </c>
      <c r="B68" t="s">
        <v>90</v>
      </c>
      <c r="D68" s="2">
        <v>45369</v>
      </c>
      <c r="E68" s="3">
        <v>0.19500000000000001</v>
      </c>
    </row>
    <row r="69" spans="1:5" x14ac:dyDescent="0.25">
      <c r="A69" t="s">
        <v>19</v>
      </c>
      <c r="B69" t="s">
        <v>62</v>
      </c>
      <c r="C69" t="s">
        <v>63</v>
      </c>
      <c r="D69" s="2">
        <v>42824</v>
      </c>
      <c r="E69" s="3">
        <f>28%+4%</f>
        <v>0.32</v>
      </c>
    </row>
    <row r="70" spans="1:5" x14ac:dyDescent="0.25">
      <c r="A70" t="s">
        <v>19</v>
      </c>
      <c r="B70" t="s">
        <v>62</v>
      </c>
      <c r="C70" t="s">
        <v>63</v>
      </c>
      <c r="D70" s="2">
        <v>43466</v>
      </c>
      <c r="E70" s="3">
        <f>28%+2%</f>
        <v>0.30000000000000004</v>
      </c>
    </row>
    <row r="71" spans="1:5" x14ac:dyDescent="0.25">
      <c r="A71" t="s">
        <v>19</v>
      </c>
      <c r="B71" t="s">
        <v>93</v>
      </c>
      <c r="D71" s="2">
        <f>DATE(2019,12,4)+90</f>
        <v>43893</v>
      </c>
      <c r="E71" s="3">
        <f>28%+4%</f>
        <v>0.32</v>
      </c>
    </row>
    <row r="72" spans="1:5" x14ac:dyDescent="0.25">
      <c r="A72" t="s">
        <v>19</v>
      </c>
      <c r="B72" t="s">
        <v>62</v>
      </c>
      <c r="C72" t="s">
        <v>63</v>
      </c>
      <c r="D72" s="2">
        <v>43466</v>
      </c>
      <c r="E72" s="3">
        <f>28%+2%</f>
        <v>0.30000000000000004</v>
      </c>
    </row>
    <row r="73" spans="1:5" x14ac:dyDescent="0.25">
      <c r="A73" t="s">
        <v>19</v>
      </c>
      <c r="B73" t="s">
        <v>62</v>
      </c>
      <c r="C73" t="s">
        <v>63</v>
      </c>
      <c r="D73" s="2">
        <v>44743</v>
      </c>
      <c r="E73" s="3">
        <f>18%+4%</f>
        <v>0.22</v>
      </c>
    </row>
    <row r="74" spans="1:5" x14ac:dyDescent="0.25">
      <c r="A74" t="s">
        <v>19</v>
      </c>
      <c r="B74" t="s">
        <v>92</v>
      </c>
      <c r="D74" s="2">
        <v>45128</v>
      </c>
      <c r="E74" s="3">
        <f>18%+2%</f>
        <v>0.19999999999999998</v>
      </c>
    </row>
    <row r="75" spans="1:5" x14ac:dyDescent="0.25">
      <c r="A75" t="s">
        <v>19</v>
      </c>
      <c r="B75" t="s">
        <v>94</v>
      </c>
      <c r="D75" s="2">
        <v>45281</v>
      </c>
      <c r="E75" s="3">
        <f>18%+4%</f>
        <v>0.22</v>
      </c>
    </row>
    <row r="76" spans="1:5" x14ac:dyDescent="0.25">
      <c r="A76" t="s">
        <v>19</v>
      </c>
      <c r="B76" t="s">
        <v>95</v>
      </c>
      <c r="C76" t="s">
        <v>63</v>
      </c>
      <c r="D76" s="2">
        <v>45371</v>
      </c>
      <c r="E76" s="3">
        <f>20%+4%</f>
        <v>0.24000000000000002</v>
      </c>
    </row>
    <row r="77" spans="1:5" x14ac:dyDescent="0.25">
      <c r="A77" t="s">
        <v>19</v>
      </c>
      <c r="B77" t="s">
        <v>96</v>
      </c>
      <c r="D77" s="2">
        <v>46388</v>
      </c>
      <c r="E77" s="3">
        <f>20%</f>
        <v>0.2</v>
      </c>
    </row>
    <row r="78" spans="1:5" x14ac:dyDescent="0.25">
      <c r="A78" t="s">
        <v>20</v>
      </c>
      <c r="B78" t="s">
        <v>64</v>
      </c>
      <c r="C78" t="s">
        <v>65</v>
      </c>
      <c r="D78" s="2">
        <v>42397</v>
      </c>
      <c r="E78" s="3">
        <f>28%+2%</f>
        <v>0.30000000000000004</v>
      </c>
    </row>
    <row r="79" spans="1:5" x14ac:dyDescent="0.25">
      <c r="A79" t="s">
        <v>20</v>
      </c>
      <c r="B79" t="s">
        <v>64</v>
      </c>
      <c r="C79" t="s">
        <v>65</v>
      </c>
      <c r="D79" s="2">
        <v>44735</v>
      </c>
      <c r="E79" s="3">
        <v>0.18</v>
      </c>
    </row>
    <row r="80" spans="1:5" x14ac:dyDescent="0.25">
      <c r="A80" t="s">
        <v>20</v>
      </c>
      <c r="B80" t="s">
        <v>64</v>
      </c>
      <c r="C80" t="s">
        <v>65</v>
      </c>
      <c r="D80" s="2">
        <v>45017</v>
      </c>
      <c r="E80" s="3">
        <v>0.2</v>
      </c>
    </row>
    <row r="81" spans="1:5" x14ac:dyDescent="0.25">
      <c r="A81" t="s">
        <v>20</v>
      </c>
      <c r="B81" t="s">
        <v>64</v>
      </c>
      <c r="C81" t="s">
        <v>65</v>
      </c>
      <c r="D81" s="2">
        <v>45292</v>
      </c>
      <c r="E81" s="4">
        <v>0.18</v>
      </c>
    </row>
    <row r="82" spans="1:5" x14ac:dyDescent="0.25">
      <c r="A82" t="s">
        <v>20</v>
      </c>
      <c r="B82" t="s">
        <v>97</v>
      </c>
      <c r="D82" s="2">
        <v>45736</v>
      </c>
      <c r="E82" s="4">
        <v>0.2</v>
      </c>
    </row>
    <row r="83" spans="1:5" x14ac:dyDescent="0.25">
      <c r="A83" t="s">
        <v>21</v>
      </c>
      <c r="B83" t="s">
        <v>66</v>
      </c>
      <c r="D83" s="2">
        <v>36526</v>
      </c>
      <c r="E83" s="3">
        <v>0.25</v>
      </c>
    </row>
    <row r="84" spans="1:5" x14ac:dyDescent="0.25">
      <c r="A84" t="s">
        <v>21</v>
      </c>
      <c r="B84" s="5" t="s">
        <v>98</v>
      </c>
      <c r="D84" s="2">
        <v>42449</v>
      </c>
      <c r="E84" s="3">
        <f>25%+2%</f>
        <v>0.27</v>
      </c>
    </row>
    <row r="85" spans="1:5" x14ac:dyDescent="0.25">
      <c r="A85" t="s">
        <v>21</v>
      </c>
      <c r="B85" t="s">
        <v>66</v>
      </c>
      <c r="C85" t="s">
        <v>67</v>
      </c>
      <c r="D85" s="2">
        <v>44735</v>
      </c>
      <c r="E85" s="3">
        <f>17.5%+2%</f>
        <v>0.19499999999999998</v>
      </c>
    </row>
    <row r="86" spans="1:5" x14ac:dyDescent="0.25">
      <c r="A86" t="s">
        <v>21</v>
      </c>
      <c r="B86" t="s">
        <v>99</v>
      </c>
      <c r="D86" s="2">
        <v>45999</v>
      </c>
      <c r="E86" s="4">
        <v>0.17499999999999999</v>
      </c>
    </row>
    <row r="87" spans="1:5" x14ac:dyDescent="0.25">
      <c r="A87" t="s">
        <v>22</v>
      </c>
      <c r="B87" t="s">
        <v>68</v>
      </c>
      <c r="C87" t="s">
        <v>69</v>
      </c>
      <c r="D87" s="2">
        <v>37165</v>
      </c>
      <c r="E87" s="3">
        <v>0.25</v>
      </c>
    </row>
    <row r="88" spans="1:5" x14ac:dyDescent="0.25">
      <c r="A88" t="s">
        <v>22</v>
      </c>
      <c r="B88" t="s">
        <v>68</v>
      </c>
      <c r="C88" t="s">
        <v>69</v>
      </c>
      <c r="D88" s="2">
        <v>44746</v>
      </c>
      <c r="E88" s="3">
        <v>0.17</v>
      </c>
    </row>
    <row r="89" spans="1:5" x14ac:dyDescent="0.25">
      <c r="A89" t="s">
        <v>22</v>
      </c>
      <c r="B89" t="s">
        <v>68</v>
      </c>
      <c r="C89" t="s">
        <v>69</v>
      </c>
      <c r="D89" s="2">
        <v>45015</v>
      </c>
      <c r="E89" s="3">
        <v>0.2</v>
      </c>
    </row>
    <row r="90" spans="1:5" x14ac:dyDescent="0.25">
      <c r="A90" t="s">
        <v>23</v>
      </c>
      <c r="B90" t="s">
        <v>70</v>
      </c>
      <c r="C90" t="s">
        <v>71</v>
      </c>
      <c r="D90" s="2">
        <v>44562</v>
      </c>
      <c r="E90" s="3">
        <v>0.25</v>
      </c>
    </row>
    <row r="91" spans="1:5" x14ac:dyDescent="0.25">
      <c r="A91" t="s">
        <v>23</v>
      </c>
      <c r="B91" t="s">
        <v>70</v>
      </c>
      <c r="C91" t="s">
        <v>71</v>
      </c>
      <c r="D91" s="2">
        <v>44735</v>
      </c>
      <c r="E91" s="3">
        <v>0.17</v>
      </c>
    </row>
    <row r="92" spans="1:5" x14ac:dyDescent="0.25">
      <c r="A92" t="s">
        <v>24</v>
      </c>
      <c r="B92" t="s">
        <v>72</v>
      </c>
      <c r="C92" t="s">
        <v>73</v>
      </c>
      <c r="D92" s="2">
        <v>42370</v>
      </c>
      <c r="E92" s="3">
        <v>0.25</v>
      </c>
    </row>
    <row r="93" spans="1:5" x14ac:dyDescent="0.25">
      <c r="A93" t="s">
        <v>24</v>
      </c>
      <c r="B93" t="s">
        <v>72</v>
      </c>
      <c r="C93" t="s">
        <v>73</v>
      </c>
      <c r="D93" s="2">
        <v>44743</v>
      </c>
      <c r="E93" s="3">
        <v>0.17</v>
      </c>
    </row>
    <row r="94" spans="1:5" x14ac:dyDescent="0.25">
      <c r="A94" t="s">
        <v>25</v>
      </c>
      <c r="B94" t="s">
        <v>100</v>
      </c>
      <c r="C94" t="s">
        <v>75</v>
      </c>
      <c r="D94" s="2">
        <v>42370</v>
      </c>
      <c r="E94" s="3">
        <f>28%+2%</f>
        <v>0.30000000000000004</v>
      </c>
    </row>
    <row r="95" spans="1:5" x14ac:dyDescent="0.25">
      <c r="A95" t="s">
        <v>25</v>
      </c>
      <c r="B95" t="s">
        <v>74</v>
      </c>
      <c r="C95" t="s">
        <v>75</v>
      </c>
      <c r="D95" s="2">
        <v>44747</v>
      </c>
      <c r="E95" s="3">
        <f>18%+2%</f>
        <v>0.19999999999999998</v>
      </c>
    </row>
    <row r="96" spans="1:5" x14ac:dyDescent="0.25">
      <c r="A96" t="s">
        <v>25</v>
      </c>
      <c r="B96" t="s">
        <v>102</v>
      </c>
      <c r="D96" s="2">
        <v>45005</v>
      </c>
      <c r="E96" s="3">
        <v>0.22</v>
      </c>
    </row>
    <row r="97" spans="1:5" x14ac:dyDescent="0.25">
      <c r="A97" t="s">
        <v>25</v>
      </c>
      <c r="B97" t="s">
        <v>101</v>
      </c>
      <c r="D97" s="2">
        <v>45017</v>
      </c>
      <c r="E97" s="3">
        <v>0.19</v>
      </c>
    </row>
    <row r="98" spans="1:5" x14ac:dyDescent="0.25">
      <c r="A98" t="s">
        <v>26</v>
      </c>
      <c r="B98" t="s">
        <v>76</v>
      </c>
      <c r="C98" t="s">
        <v>77</v>
      </c>
      <c r="D98" s="2">
        <v>33599</v>
      </c>
      <c r="E98" s="3">
        <v>0.25</v>
      </c>
    </row>
    <row r="99" spans="1:5" x14ac:dyDescent="0.25">
      <c r="A99" t="s">
        <v>26</v>
      </c>
      <c r="B99" t="s">
        <v>76</v>
      </c>
      <c r="C99" t="s">
        <v>77</v>
      </c>
      <c r="D99" s="2">
        <v>44735</v>
      </c>
      <c r="E99" s="3">
        <v>0.18</v>
      </c>
    </row>
    <row r="100" spans="1:5" x14ac:dyDescent="0.25">
      <c r="A100" t="s">
        <v>27</v>
      </c>
      <c r="B100" t="s">
        <v>78</v>
      </c>
      <c r="C100" t="s">
        <v>79</v>
      </c>
      <c r="D100" s="2">
        <v>37257</v>
      </c>
      <c r="E100" s="3">
        <v>0.25</v>
      </c>
    </row>
    <row r="101" spans="1:5" x14ac:dyDescent="0.25">
      <c r="A101" t="s">
        <v>27</v>
      </c>
      <c r="B101" t="s">
        <v>78</v>
      </c>
      <c r="C101" t="s">
        <v>79</v>
      </c>
      <c r="D101" s="2">
        <v>42370</v>
      </c>
      <c r="E101" s="3">
        <v>0.28999999999999998</v>
      </c>
    </row>
    <row r="102" spans="1:5" x14ac:dyDescent="0.25">
      <c r="A102" t="s">
        <v>27</v>
      </c>
      <c r="B102" t="s">
        <v>78</v>
      </c>
      <c r="C102" t="s">
        <v>79</v>
      </c>
      <c r="D102" s="2">
        <v>44775</v>
      </c>
      <c r="E102" s="3">
        <v>0.18</v>
      </c>
    </row>
    <row r="103" spans="1:5" x14ac:dyDescent="0.25">
      <c r="A103" t="s">
        <v>27</v>
      </c>
      <c r="B103" t="s">
        <v>78</v>
      </c>
      <c r="C103" t="s">
        <v>79</v>
      </c>
      <c r="D103" s="2">
        <v>45017</v>
      </c>
      <c r="E103" s="3">
        <v>0.2</v>
      </c>
    </row>
  </sheetData>
  <pageMargins left="0.7" right="0.7" top="0.75" bottom="0.75" header="0.3" footer="0.3"/>
  <ignoredErrors>
    <ignoredError sqref="E70 E7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Magalhaes Delgado</dc:creator>
  <cp:lastModifiedBy>Eric Magalhaes Delgado</cp:lastModifiedBy>
  <dcterms:created xsi:type="dcterms:W3CDTF">2025-09-24T11:31:43Z</dcterms:created>
  <dcterms:modified xsi:type="dcterms:W3CDTF">2026-07-15T17:14:51Z</dcterms:modified>
</cp:coreProperties>
</file>